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esktop\Siddhanath\PO File\"/>
    </mc:Choice>
  </mc:AlternateContent>
  <bookViews>
    <workbookView xWindow="0" yWindow="0" windowWidth="23040" windowHeight="9192" activeTab="1"/>
  </bookViews>
  <sheets>
    <sheet name="Table 1" sheetId="5" r:id="rId1"/>
    <sheet name="Master PO" sheetId="6" r:id="rId2"/>
    <sheet name="Table 2" sheetId="2" r:id="rId3"/>
    <sheet name="Table 3" sheetId="3" r:id="rId4"/>
    <sheet name="Table 4" sheetId="4" r:id="rId5"/>
  </sheets>
  <calcPr calcId="162913"/>
</workbook>
</file>

<file path=xl/calcChain.xml><?xml version="1.0" encoding="utf-8"?>
<calcChain xmlns="http://schemas.openxmlformats.org/spreadsheetml/2006/main">
  <c r="J69" i="6" l="1"/>
  <c r="J67" i="6"/>
  <c r="J64" i="6"/>
  <c r="J61" i="6"/>
  <c r="J59" i="6"/>
  <c r="M57" i="6"/>
  <c r="N57" i="6" s="1"/>
  <c r="J57" i="6"/>
  <c r="J55" i="6"/>
  <c r="J53" i="6"/>
  <c r="J50" i="6"/>
  <c r="J48" i="6"/>
  <c r="M46" i="6"/>
  <c r="N46" i="6" s="1"/>
  <c r="J46" i="6"/>
  <c r="J42" i="6"/>
  <c r="J40" i="6"/>
  <c r="M40" i="6" s="1"/>
  <c r="N40" i="6" s="1"/>
  <c r="J38" i="6"/>
  <c r="J36" i="6"/>
  <c r="J34" i="6"/>
  <c r="M69" i="6" l="1"/>
  <c r="N69" i="6" s="1"/>
  <c r="M67" i="6"/>
  <c r="N67" i="6" s="1"/>
  <c r="M64" i="6"/>
  <c r="N64" i="6" s="1"/>
  <c r="M61" i="6"/>
  <c r="N61" i="6" s="1"/>
  <c r="M59" i="6"/>
  <c r="N59" i="6" s="1"/>
  <c r="M55" i="6"/>
  <c r="N55" i="6" s="1"/>
  <c r="M53" i="6"/>
  <c r="N53" i="6" s="1"/>
  <c r="M50" i="6"/>
  <c r="N50" i="6" s="1"/>
  <c r="M48" i="6"/>
  <c r="N48" i="6" s="1"/>
  <c r="N42" i="6"/>
  <c r="M42" i="6"/>
  <c r="M38" i="6"/>
  <c r="N38" i="6" s="1"/>
  <c r="M36" i="6"/>
  <c r="N36" i="6" s="1"/>
  <c r="M34" i="6"/>
  <c r="N34" i="6" s="1"/>
  <c r="J40" i="5"/>
  <c r="J38" i="5"/>
  <c r="N36" i="5"/>
  <c r="M36" i="5"/>
  <c r="J36" i="5"/>
  <c r="N34" i="5"/>
  <c r="M34" i="5"/>
  <c r="J34" i="5"/>
  <c r="M40" i="5" l="1"/>
  <c r="N40" i="5" s="1"/>
  <c r="N38" i="5"/>
  <c r="M38" i="5"/>
</calcChain>
</file>

<file path=xl/sharedStrings.xml><?xml version="1.0" encoding="utf-8"?>
<sst xmlns="http://schemas.openxmlformats.org/spreadsheetml/2006/main" count="350" uniqueCount="221">
  <si>
    <r>
      <rPr>
        <b/>
        <sz val="12"/>
        <rFont val="Arial"/>
        <family val="2"/>
      </rPr>
      <t xml:space="preserve">Quote Date : </t>
    </r>
    <r>
      <rPr>
        <sz val="12"/>
        <rFont val="Arial MT"/>
        <family val="2"/>
      </rPr>
      <t>08/12/2025</t>
    </r>
  </si>
  <si>
    <r>
      <rPr>
        <b/>
        <sz val="12"/>
        <rFont val="Arial"/>
        <family val="2"/>
      </rPr>
      <t>Company Code</t>
    </r>
  </si>
  <si>
    <r>
      <rPr>
        <sz val="12"/>
        <rFont val="Arial MT"/>
        <family val="2"/>
      </rPr>
      <t>CUS-727554</t>
    </r>
  </si>
  <si>
    <r>
      <rPr>
        <b/>
        <sz val="12"/>
        <rFont val="Arial"/>
        <family val="2"/>
      </rPr>
      <t>Company Name</t>
    </r>
  </si>
  <si>
    <r>
      <rPr>
        <sz val="12"/>
        <rFont val="Arial MT"/>
        <family val="2"/>
      </rPr>
      <t>Tingre estates pvt ltd</t>
    </r>
  </si>
  <si>
    <r>
      <rPr>
        <b/>
        <sz val="12"/>
        <rFont val="Arial"/>
        <family val="2"/>
      </rPr>
      <t>Project Code</t>
    </r>
  </si>
  <si>
    <r>
      <rPr>
        <sz val="12"/>
        <rFont val="Arial MT"/>
        <family val="2"/>
      </rPr>
      <t>CUS-766548</t>
    </r>
  </si>
  <si>
    <r>
      <rPr>
        <b/>
        <sz val="12"/>
        <rFont val="Arial"/>
        <family val="2"/>
      </rPr>
      <t>Project Name</t>
    </r>
  </si>
  <si>
    <r>
      <rPr>
        <sz val="12"/>
        <rFont val="Arial MT"/>
        <family val="2"/>
      </rPr>
      <t>BT Square</t>
    </r>
  </si>
  <si>
    <r>
      <rPr>
        <b/>
        <sz val="12"/>
        <rFont val="Arial"/>
        <family val="2"/>
      </rPr>
      <t>Site Code</t>
    </r>
  </si>
  <si>
    <r>
      <rPr>
        <sz val="12"/>
        <rFont val="Arial MT"/>
        <family val="2"/>
      </rPr>
      <t>CUS-766549</t>
    </r>
  </si>
  <si>
    <r>
      <rPr>
        <b/>
        <sz val="12"/>
        <rFont val="Arial"/>
        <family val="2"/>
      </rPr>
      <t>Site Name</t>
    </r>
  </si>
  <si>
    <r>
      <rPr>
        <b/>
        <sz val="12"/>
        <rFont val="Arial"/>
        <family val="2"/>
      </rPr>
      <t>Address</t>
    </r>
  </si>
  <si>
    <r>
      <rPr>
        <sz val="12"/>
        <rFont val="Arial MT"/>
        <family val="2"/>
      </rPr>
      <t>Quater gate chowk</t>
    </r>
  </si>
  <si>
    <r>
      <rPr>
        <b/>
        <sz val="12"/>
        <rFont val="Arial"/>
        <family val="2"/>
      </rPr>
      <t>Contact Person</t>
    </r>
  </si>
  <si>
    <r>
      <rPr>
        <sz val="12"/>
        <rFont val="Arial MT"/>
        <family val="2"/>
      </rPr>
      <t>Kanhu Katake</t>
    </r>
  </si>
  <si>
    <r>
      <rPr>
        <b/>
        <sz val="12"/>
        <rFont val="Arial"/>
        <family val="2"/>
      </rPr>
      <t>City</t>
    </r>
  </si>
  <si>
    <r>
      <rPr>
        <sz val="12"/>
        <rFont val="Arial MT"/>
        <family val="2"/>
      </rPr>
      <t>Pune</t>
    </r>
  </si>
  <si>
    <r>
      <rPr>
        <b/>
        <sz val="12"/>
        <rFont val="Arial"/>
        <family val="2"/>
      </rPr>
      <t>Mobile</t>
    </r>
  </si>
  <si>
    <r>
      <rPr>
        <b/>
        <sz val="12"/>
        <rFont val="Arial"/>
        <family val="2"/>
      </rPr>
      <t>State</t>
    </r>
  </si>
  <si>
    <r>
      <rPr>
        <sz val="12"/>
        <rFont val="Arial MT"/>
        <family val="2"/>
      </rPr>
      <t>Maharashtra</t>
    </r>
  </si>
  <si>
    <r>
      <rPr>
        <b/>
        <sz val="12"/>
        <rFont val="Arial"/>
        <family val="2"/>
      </rPr>
      <t>Email</t>
    </r>
  </si>
  <si>
    <r>
      <rPr>
        <sz val="12"/>
        <rFont val="Arial MT"/>
        <family val="2"/>
      </rPr>
      <t>kanhu1971@gmail.com</t>
    </r>
  </si>
  <si>
    <r>
      <rPr>
        <sz val="15"/>
        <rFont val="Arial MT"/>
        <family val="2"/>
      </rPr>
      <t xml:space="preserve">SHOWER AREA - - -
</t>
    </r>
    <r>
      <rPr>
        <sz val="15"/>
        <rFont val="Arial MT"/>
        <family val="2"/>
      </rPr>
      <t>Option 1</t>
    </r>
  </si>
  <si>
    <r>
      <rPr>
        <b/>
        <sz val="9"/>
        <rFont val="Arial"/>
        <family val="2"/>
      </rPr>
      <t xml:space="preserve">S.
</t>
    </r>
    <r>
      <rPr>
        <b/>
        <sz val="9"/>
        <rFont val="Arial"/>
        <family val="2"/>
      </rPr>
      <t>No.</t>
    </r>
  </si>
  <si>
    <r>
      <rPr>
        <b/>
        <sz val="9"/>
        <rFont val="Arial"/>
        <family val="2"/>
      </rPr>
      <t>Cat. No.</t>
    </r>
  </si>
  <si>
    <r>
      <rPr>
        <b/>
        <sz val="9"/>
        <rFont val="Arial"/>
        <family val="2"/>
      </rPr>
      <t>Image</t>
    </r>
  </si>
  <si>
    <r>
      <rPr>
        <b/>
        <sz val="9"/>
        <rFont val="Arial"/>
        <family val="2"/>
      </rPr>
      <t>Qty</t>
    </r>
  </si>
  <si>
    <r>
      <rPr>
        <b/>
        <sz val="9"/>
        <rFont val="Arial"/>
        <family val="2"/>
      </rPr>
      <t>MRP</t>
    </r>
  </si>
  <si>
    <r>
      <rPr>
        <b/>
        <sz val="9"/>
        <rFont val="Arial"/>
        <family val="2"/>
      </rPr>
      <t>Rate/Unit</t>
    </r>
  </si>
  <si>
    <r>
      <rPr>
        <b/>
        <sz val="9"/>
        <rFont val="Arial"/>
        <family val="2"/>
      </rPr>
      <t>Total Taxable Amt.</t>
    </r>
  </si>
  <si>
    <r>
      <rPr>
        <b/>
        <sz val="9"/>
        <rFont val="Arial"/>
        <family val="2"/>
      </rPr>
      <t xml:space="preserve">GST
</t>
    </r>
    <r>
      <rPr>
        <b/>
        <sz val="9"/>
        <rFont val="Arial"/>
        <family val="2"/>
      </rPr>
      <t>%</t>
    </r>
  </si>
  <si>
    <r>
      <rPr>
        <b/>
        <sz val="9"/>
        <rFont val="Arial"/>
        <family val="2"/>
      </rPr>
      <t xml:space="preserve">Total GST/
</t>
    </r>
    <r>
      <rPr>
        <b/>
        <sz val="9"/>
        <rFont val="Arial"/>
        <family val="2"/>
      </rPr>
      <t>Tax Amt.</t>
    </r>
  </si>
  <si>
    <r>
      <rPr>
        <b/>
        <sz val="9"/>
        <rFont val="Arial"/>
        <family val="2"/>
      </rPr>
      <t>Total Amt.</t>
    </r>
  </si>
  <si>
    <r>
      <rPr>
        <sz val="9"/>
        <rFont val="Arial MT"/>
        <family val="2"/>
      </rPr>
      <t>ALD-CH R-065M</t>
    </r>
  </si>
  <si>
    <r>
      <rPr>
        <sz val="9"/>
        <rFont val="Arial MT"/>
        <family val="2"/>
      </rPr>
      <t>HSN Code / Description - 84818020 / CONCEALED BODY FOR SINGLE LEVER DIVERTER</t>
    </r>
  </si>
  <si>
    <r>
      <rPr>
        <sz val="9"/>
        <rFont val="Arial MT"/>
        <family val="2"/>
      </rPr>
      <t>OPP-CH R-15065 MKPM</t>
    </r>
  </si>
  <si>
    <r>
      <rPr>
        <sz val="9"/>
        <rFont val="Arial MT"/>
        <family val="2"/>
      </rPr>
      <t>HSN Code / Description - 84818020 / SINGLE LEVER EXPOSED PARTS KIT OF DIVERT</t>
    </r>
  </si>
  <si>
    <r>
      <rPr>
        <sz val="9"/>
        <rFont val="Arial MT"/>
        <family val="2"/>
      </rPr>
      <t xml:space="preserve">SPJ- CH R-
</t>
    </r>
    <r>
      <rPr>
        <sz val="9"/>
        <rFont val="Arial MT"/>
        <family val="2"/>
      </rPr>
      <t>15429 PM</t>
    </r>
  </si>
  <si>
    <r>
      <rPr>
        <sz val="9"/>
        <rFont val="Arial MT"/>
        <family val="2"/>
      </rPr>
      <t>HSN Code / Description - 84818020 / OPAL PRIME BATH TUB SPOUT WITH WALL FLAN</t>
    </r>
  </si>
  <si>
    <r>
      <rPr>
        <sz val="9"/>
        <rFont val="Arial MT"/>
        <family val="2"/>
      </rPr>
      <t>SHA-CH R-479L3 00S</t>
    </r>
  </si>
  <si>
    <r>
      <rPr>
        <sz val="9"/>
        <rFont val="Arial MT"/>
        <family val="2"/>
      </rPr>
      <t>HSN Code / Description - 73249000 / SHOWER ARM ?20MM &amp; 300MM LONG ROUND SHAP</t>
    </r>
  </si>
  <si>
    <r>
      <rPr>
        <sz val="9"/>
        <rFont val="Arial MT"/>
        <family val="2"/>
      </rPr>
      <t>EOS-CH R-542A</t>
    </r>
  </si>
  <si>
    <r>
      <rPr>
        <sz val="9"/>
        <rFont val="Arial MT"/>
        <family val="2"/>
      </rPr>
      <t>INR 1,28,340.00</t>
    </r>
  </si>
  <si>
    <r>
      <rPr>
        <sz val="9"/>
        <rFont val="Arial MT"/>
        <family val="2"/>
      </rPr>
      <t>INR 1,51,441.20</t>
    </r>
  </si>
  <si>
    <r>
      <rPr>
        <sz val="9"/>
        <rFont val="Arial MT"/>
        <family val="2"/>
      </rPr>
      <t>HSN Code / Description - 39221000 / OVERHEAD SHOWER 125mm DIA ROUND SHAPE SI</t>
    </r>
  </si>
  <si>
    <r>
      <rPr>
        <b/>
        <sz val="9"/>
        <rFont val="Arial"/>
        <family val="2"/>
      </rPr>
      <t>SHOWER AREA - - - Option 1 TOTAL:</t>
    </r>
  </si>
  <si>
    <r>
      <rPr>
        <sz val="9"/>
        <rFont val="Arial MT"/>
        <family val="2"/>
      </rPr>
      <t>INR 16,21,408.500</t>
    </r>
  </si>
  <si>
    <r>
      <rPr>
        <sz val="15"/>
        <rFont val="Arial MT"/>
        <family val="2"/>
      </rPr>
      <t>BASIN AREA - - - Option 1</t>
    </r>
  </si>
  <si>
    <r>
      <rPr>
        <sz val="9"/>
        <rFont val="Arial MT"/>
        <family val="2"/>
      </rPr>
      <t>JDS-WH T-25909</t>
    </r>
  </si>
  <si>
    <r>
      <rPr>
        <sz val="9"/>
        <rFont val="Arial MT"/>
        <family val="2"/>
      </rPr>
      <t>INR 7,30,410.00</t>
    </r>
  </si>
  <si>
    <r>
      <rPr>
        <sz val="9"/>
        <rFont val="Arial MT"/>
        <family val="2"/>
      </rPr>
      <t>INR 1,31,473.80</t>
    </r>
  </si>
  <si>
    <r>
      <rPr>
        <sz val="9"/>
        <rFont val="Arial MT"/>
        <family val="2"/>
      </rPr>
      <t>INR 8,61,883.80</t>
    </r>
  </si>
  <si>
    <r>
      <rPr>
        <sz val="9"/>
        <rFont val="Arial MT"/>
        <family val="2"/>
      </rPr>
      <t>HSN Code / Description - 69109000 / TABLE TOP BASIN, SIZE:480X380X140 mm</t>
    </r>
  </si>
  <si>
    <r>
      <rPr>
        <sz val="9"/>
        <rFont val="Arial MT"/>
        <family val="2"/>
      </rPr>
      <t>SOT-CH R-83037</t>
    </r>
  </si>
  <si>
    <r>
      <rPr>
        <sz val="9"/>
        <rFont val="Arial MT"/>
        <family val="2"/>
      </rPr>
      <t>INR 2,96,820.00</t>
    </r>
  </si>
  <si>
    <r>
      <rPr>
        <sz val="9"/>
        <rFont val="Arial MT"/>
        <family val="2"/>
      </rPr>
      <t>INR 3,50,247.60</t>
    </r>
  </si>
  <si>
    <r>
      <rPr>
        <sz val="9"/>
        <rFont val="Arial MT"/>
        <family val="2"/>
      </rPr>
      <t>HSN Code / Description - 84818020 / SPOUT OPERATED BIB TAP ROUND SHAPE WITH</t>
    </r>
  </si>
  <si>
    <r>
      <rPr>
        <sz val="9"/>
        <rFont val="Arial MT"/>
        <family val="2"/>
      </rPr>
      <t xml:space="preserve">ALD- CH R-
</t>
    </r>
    <r>
      <rPr>
        <sz val="9"/>
        <rFont val="Arial MT"/>
        <family val="2"/>
      </rPr>
      <t>705L1 30</t>
    </r>
  </si>
  <si>
    <r>
      <rPr>
        <sz val="9"/>
        <rFont val="Arial MT"/>
        <family val="2"/>
      </rPr>
      <t>INR 1,12,035.00</t>
    </r>
  </si>
  <si>
    <r>
      <rPr>
        <sz val="9"/>
        <rFont val="Arial MT"/>
        <family val="2"/>
      </rPr>
      <t>INR 1,32,201.30</t>
    </r>
  </si>
  <si>
    <r>
      <rPr>
        <sz val="9"/>
        <rFont val="Arial MT"/>
        <family val="2"/>
      </rPr>
      <t>HSN Code / Description - 84818020 / WASTE COUPLING 32mm F. THREAD 130mm HT</t>
    </r>
  </si>
  <si>
    <r>
      <rPr>
        <b/>
        <sz val="9"/>
        <rFont val="Arial"/>
        <family val="2"/>
      </rPr>
      <t>BASIN AREA - - - Option 1 TOTAL:</t>
    </r>
  </si>
  <si>
    <r>
      <rPr>
        <sz val="9"/>
        <rFont val="Arial MT"/>
        <family val="2"/>
      </rPr>
      <t>INR 13,44,332.700</t>
    </r>
  </si>
  <si>
    <r>
      <rPr>
        <sz val="15"/>
        <rFont val="Arial MT"/>
        <family val="2"/>
      </rPr>
      <t>COMOD AREA - - - Option 1</t>
    </r>
  </si>
  <si>
    <r>
      <rPr>
        <sz val="9"/>
        <rFont val="Arial MT"/>
        <family val="2"/>
      </rPr>
      <t xml:space="preserve">CNS- WH T-
</t>
    </r>
    <r>
      <rPr>
        <sz val="9"/>
        <rFont val="Arial MT"/>
        <family val="2"/>
      </rPr>
      <t>963UF SM</t>
    </r>
  </si>
  <si>
    <r>
      <rPr>
        <sz val="9"/>
        <rFont val="Arial MT"/>
        <family val="2"/>
      </rPr>
      <t>INR 20,20,620.00</t>
    </r>
  </si>
  <si>
    <r>
      <rPr>
        <sz val="9"/>
        <rFont val="Arial MT"/>
        <family val="2"/>
      </rPr>
      <t>INR 3,63,711.60</t>
    </r>
  </si>
  <si>
    <r>
      <rPr>
        <sz val="9"/>
        <rFont val="Arial MT"/>
        <family val="2"/>
      </rPr>
      <t>INR 23,84,331.60</t>
    </r>
  </si>
  <si>
    <r>
      <rPr>
        <sz val="9"/>
        <rFont val="Arial MT"/>
        <family val="2"/>
      </rPr>
      <t>HSN Code / Description - 69109000 / RIMLESS WALL HUNG WC WITH UF SOFT CLOSE</t>
    </r>
  </si>
  <si>
    <r>
      <rPr>
        <sz val="9"/>
        <rFont val="Arial MT"/>
        <family val="2"/>
      </rPr>
      <t>FLV-CH R-1085N</t>
    </r>
  </si>
  <si>
    <r>
      <rPr>
        <sz val="9"/>
        <rFont val="Arial MT"/>
        <family val="2"/>
      </rPr>
      <t>INR 8,28,240.00</t>
    </r>
  </si>
  <si>
    <r>
      <rPr>
        <sz val="9"/>
        <rFont val="Arial MT"/>
        <family val="2"/>
      </rPr>
      <t>INR 1,49,083.20</t>
    </r>
  </si>
  <si>
    <r>
      <rPr>
        <sz val="9"/>
        <rFont val="Arial MT"/>
        <family val="2"/>
      </rPr>
      <t>INR 9,77,323.20</t>
    </r>
  </si>
  <si>
    <r>
      <rPr>
        <sz val="9"/>
        <rFont val="Arial MT"/>
        <family val="2"/>
      </rPr>
      <t>HSN Code / Description - 84818020 / METROPOLE FLUSH VALVE DUAL FLOW 32MM SIZ</t>
    </r>
  </si>
  <si>
    <r>
      <rPr>
        <sz val="9"/>
        <rFont val="Arial MT"/>
        <family val="2"/>
      </rPr>
      <t>ALD-CH R-573</t>
    </r>
  </si>
  <si>
    <r>
      <rPr>
        <sz val="9"/>
        <rFont val="Arial MT"/>
        <family val="2"/>
      </rPr>
      <t>INR 3,32,010.00</t>
    </r>
  </si>
  <si>
    <r>
      <rPr>
        <sz val="9"/>
        <rFont val="Arial MT"/>
        <family val="2"/>
      </rPr>
      <t>INR 3,91,771.80</t>
    </r>
  </si>
  <si>
    <r>
      <rPr>
        <sz val="9"/>
        <rFont val="Arial MT"/>
        <family val="2"/>
      </rPr>
      <t>HSN Code / Description - 84818020 / HAND SHOWER (HEALTH FAUCET) WITH 8MM DIA</t>
    </r>
  </si>
  <si>
    <r>
      <rPr>
        <sz val="9"/>
        <rFont val="Arial MT"/>
        <family val="2"/>
      </rPr>
      <t xml:space="preserve">OPP- CH R-
</t>
    </r>
    <r>
      <rPr>
        <sz val="9"/>
        <rFont val="Arial MT"/>
        <family val="2"/>
      </rPr>
      <t>15053 PM</t>
    </r>
  </si>
  <si>
    <r>
      <rPr>
        <sz val="9"/>
        <rFont val="Arial MT"/>
        <family val="2"/>
      </rPr>
      <t>INR 2,55,255.00</t>
    </r>
  </si>
  <si>
    <r>
      <rPr>
        <sz val="9"/>
        <rFont val="Arial MT"/>
        <family val="2"/>
      </rPr>
      <t>INR 3,01,200.90</t>
    </r>
  </si>
  <si>
    <r>
      <rPr>
        <sz val="9"/>
        <rFont val="Arial MT"/>
        <family val="2"/>
      </rPr>
      <t>HSN Code / Description - 84818020 / ANGULAR STOP COCK WITH WALL FLANGE</t>
    </r>
  </si>
  <si>
    <r>
      <rPr>
        <sz val="9"/>
        <rFont val="Arial MT"/>
        <family val="2"/>
      </rPr>
      <t>COP- CH R- 037NP M</t>
    </r>
  </si>
  <si>
    <r>
      <rPr>
        <sz val="9"/>
        <rFont val="Arial MT"/>
        <family val="2"/>
      </rPr>
      <t>HSN Code / Description - 84818020 / BIB COCK WITH WALL FLANGE</t>
    </r>
  </si>
  <si>
    <r>
      <rPr>
        <b/>
        <sz val="9"/>
        <rFont val="Arial"/>
        <family val="2"/>
      </rPr>
      <t>COMOD AREA - - - Option 1 TOTAL:</t>
    </r>
  </si>
  <si>
    <r>
      <rPr>
        <sz val="9"/>
        <rFont val="Arial MT"/>
        <family val="2"/>
      </rPr>
      <t>INR 41,10,789.600</t>
    </r>
  </si>
  <si>
    <r>
      <rPr>
        <sz val="15"/>
        <rFont val="Arial MT"/>
        <family val="2"/>
      </rPr>
      <t xml:space="preserve">URINAL AREA - - - Option
</t>
    </r>
    <r>
      <rPr>
        <sz val="15"/>
        <rFont val="Arial MT"/>
        <family val="2"/>
      </rPr>
      <t>1</t>
    </r>
  </si>
  <si>
    <r>
      <rPr>
        <sz val="9"/>
        <rFont val="Arial MT"/>
        <family val="2"/>
      </rPr>
      <t>URS-WH T-13253 N</t>
    </r>
  </si>
  <si>
    <r>
      <rPr>
        <sz val="9"/>
        <rFont val="Arial MT"/>
        <family val="2"/>
      </rPr>
      <t>HSN Code / Description - 69109000 / URINAL WITH FIXING ACCESSORIES SET, SIZE</t>
    </r>
  </si>
  <si>
    <r>
      <rPr>
        <b/>
        <sz val="9"/>
        <rFont val="Arial"/>
        <family val="2"/>
      </rPr>
      <t>URINAL AREA - - - Option 1 TOTAL:</t>
    </r>
  </si>
  <si>
    <r>
      <rPr>
        <sz val="15"/>
        <rFont val="Arial MT"/>
        <family val="2"/>
      </rPr>
      <t xml:space="preserve">KITCHEN &amp; DRY
</t>
    </r>
    <r>
      <rPr>
        <sz val="15"/>
        <rFont val="Arial MT"/>
        <family val="2"/>
      </rPr>
      <t>BALCONY - - - Option 1</t>
    </r>
  </si>
  <si>
    <r>
      <rPr>
        <sz val="9"/>
        <rFont val="Arial MT"/>
        <family val="2"/>
      </rPr>
      <t xml:space="preserve">FLP- CH R-
</t>
    </r>
    <r>
      <rPr>
        <sz val="9"/>
        <rFont val="Arial MT"/>
        <family val="2"/>
      </rPr>
      <t>5347P M</t>
    </r>
  </si>
  <si>
    <r>
      <rPr>
        <sz val="9"/>
        <rFont val="Arial MT"/>
        <family val="2"/>
      </rPr>
      <t>INR 2,82,720.00</t>
    </r>
  </si>
  <si>
    <r>
      <rPr>
        <sz val="9"/>
        <rFont val="Arial MT"/>
        <family val="2"/>
      </rPr>
      <t>INR 3,33,609.60</t>
    </r>
  </si>
  <si>
    <r>
      <rPr>
        <sz val="9"/>
        <rFont val="Arial MT"/>
        <family val="2"/>
      </rPr>
      <t>HSN Code / Description - 84818020 / SINK COCK WITH REGULAR SWINGING SPOUT (W</t>
    </r>
  </si>
  <si>
    <r>
      <rPr>
        <sz val="9"/>
        <rFont val="Arial MT"/>
        <family val="2"/>
      </rPr>
      <t>SQT- CH R- 511AK N</t>
    </r>
  </si>
  <si>
    <r>
      <rPr>
        <sz val="9"/>
        <rFont val="Arial MT"/>
        <family val="2"/>
      </rPr>
      <t>HSN Code / Description - 84818020 / BIB COCK WITH NOZZLE</t>
    </r>
  </si>
  <si>
    <r>
      <rPr>
        <b/>
        <sz val="9"/>
        <rFont val="Arial"/>
        <family val="2"/>
      </rPr>
      <t>KITCHEN &amp; DRY BALCONY - - - Option 1 TOTAL:</t>
    </r>
  </si>
  <si>
    <r>
      <rPr>
        <sz val="9"/>
        <rFont val="Arial MT"/>
        <family val="2"/>
      </rPr>
      <t>INR 4,21,401.600</t>
    </r>
  </si>
  <si>
    <r>
      <rPr>
        <b/>
        <sz val="12"/>
        <rFont val="Arial"/>
        <family val="2"/>
      </rPr>
      <t xml:space="preserve">Total Quantity :
</t>
    </r>
    <r>
      <rPr>
        <sz val="12"/>
        <rFont val="Arial MT"/>
        <family val="2"/>
      </rPr>
      <t>4,140</t>
    </r>
  </si>
  <si>
    <r>
      <rPr>
        <b/>
        <sz val="12"/>
        <rFont val="Arial"/>
        <family val="2"/>
      </rPr>
      <t xml:space="preserve">Total MRP : </t>
    </r>
    <r>
      <rPr>
        <sz val="12"/>
        <rFont val="Arial MT"/>
        <family val="2"/>
      </rPr>
      <t xml:space="preserve">INR
</t>
    </r>
    <r>
      <rPr>
        <sz val="12"/>
        <rFont val="Arial MT"/>
        <family val="2"/>
      </rPr>
      <t>1,10,39,950.00</t>
    </r>
  </si>
  <si>
    <r>
      <rPr>
        <b/>
        <sz val="12"/>
        <rFont val="Arial"/>
        <family val="2"/>
      </rPr>
      <t xml:space="preserve">Total Taxable
</t>
    </r>
    <r>
      <rPr>
        <b/>
        <sz val="12"/>
        <rFont val="Arial"/>
        <family val="2"/>
      </rPr>
      <t xml:space="preserve">Amt : </t>
    </r>
    <r>
      <rPr>
        <sz val="12"/>
        <rFont val="Arial MT"/>
        <family val="2"/>
      </rPr>
      <t>INR 64,21,980.00</t>
    </r>
  </si>
  <si>
    <r>
      <rPr>
        <b/>
        <sz val="12"/>
        <rFont val="Arial"/>
        <family val="2"/>
      </rPr>
      <t xml:space="preserve">Total TAX : </t>
    </r>
    <r>
      <rPr>
        <sz val="12"/>
        <rFont val="Arial MT"/>
        <family val="2"/>
      </rPr>
      <t xml:space="preserve">INR
</t>
    </r>
    <r>
      <rPr>
        <sz val="12"/>
        <rFont val="Arial MT"/>
        <family val="2"/>
      </rPr>
      <t>11,55,956.40</t>
    </r>
  </si>
  <si>
    <r>
      <rPr>
        <b/>
        <sz val="12"/>
        <rFont val="Arial"/>
        <family val="2"/>
      </rPr>
      <t xml:space="preserve">Net Amt : </t>
    </r>
    <r>
      <rPr>
        <sz val="12"/>
        <rFont val="Arial MT"/>
        <family val="2"/>
      </rPr>
      <t>75,77,936</t>
    </r>
  </si>
  <si>
    <r>
      <rPr>
        <b/>
        <sz val="12"/>
        <rFont val="Arial"/>
        <family val="2"/>
      </rPr>
      <t>CUSTOMER CONTACT DETAILS</t>
    </r>
  </si>
  <si>
    <r>
      <rPr>
        <b/>
        <sz val="12"/>
        <rFont val="Arial"/>
        <family val="2"/>
      </rPr>
      <t>Contact Name :</t>
    </r>
  </si>
  <si>
    <r>
      <rPr>
        <b/>
        <sz val="12"/>
        <rFont val="Arial"/>
        <family val="2"/>
      </rPr>
      <t>Contact Email :</t>
    </r>
  </si>
  <si>
    <r>
      <rPr>
        <b/>
        <sz val="12"/>
        <rFont val="Arial"/>
        <family val="2"/>
      </rPr>
      <t>Contact Number :</t>
    </r>
  </si>
  <si>
    <r>
      <rPr>
        <b/>
        <sz val="12"/>
        <rFont val="Arial"/>
        <family val="2"/>
      </rPr>
      <t>SALES TEAM</t>
    </r>
  </si>
  <si>
    <r>
      <rPr>
        <b/>
        <sz val="12"/>
        <rFont val="Arial"/>
        <family val="2"/>
      </rPr>
      <t>Sales Person Name</t>
    </r>
  </si>
  <si>
    <r>
      <rPr>
        <b/>
        <sz val="12"/>
        <rFont val="Arial"/>
        <family val="2"/>
      </rPr>
      <t>Contact Number</t>
    </r>
  </si>
  <si>
    <r>
      <rPr>
        <sz val="12"/>
        <rFont val="Arial MT"/>
        <family val="2"/>
      </rPr>
      <t>Ashish Rajpurohit</t>
    </r>
  </si>
  <si>
    <r>
      <rPr>
        <sz val="12"/>
        <rFont val="Arial MT"/>
        <family val="2"/>
      </rPr>
      <t>ashish.rajpurohit@jaquar.com</t>
    </r>
  </si>
  <si>
    <r>
      <rPr>
        <b/>
        <sz val="12"/>
        <rFont val="Arial"/>
        <family val="2"/>
      </rPr>
      <t>CREATED BY</t>
    </r>
  </si>
  <si>
    <r>
      <rPr>
        <b/>
        <sz val="12"/>
        <rFont val="Arial"/>
        <family val="2"/>
      </rPr>
      <t>Name</t>
    </r>
  </si>
  <si>
    <r>
      <rPr>
        <sz val="12"/>
        <rFont val="Arial MT"/>
        <family val="2"/>
      </rPr>
      <t>Kiran Jagtap - 3057</t>
    </r>
  </si>
  <si>
    <r>
      <rPr>
        <sz val="12"/>
        <rFont val="Arial MT"/>
        <family val="2"/>
      </rPr>
      <t>kiran.jagtap@jaquar.com</t>
    </r>
  </si>
  <si>
    <r>
      <rPr>
        <b/>
        <u/>
        <sz val="12"/>
        <rFont val="Arial"/>
        <family val="2"/>
      </rPr>
      <t>Mandatory Terms &amp; Conditions for Quotation</t>
    </r>
  </si>
  <si>
    <r>
      <rPr>
        <b/>
        <sz val="12"/>
        <rFont val="Arial"/>
        <family val="2"/>
      </rPr>
      <t>Quotation and Validity</t>
    </r>
  </si>
  <si>
    <r>
      <rPr>
        <sz val="12"/>
        <rFont val="Arial MT"/>
        <family val="2"/>
      </rPr>
      <t xml:space="preserve">• The quotation will be valid till </t>
    </r>
    <r>
      <rPr>
        <b/>
        <sz val="12"/>
        <rFont val="Arial"/>
        <family val="2"/>
      </rPr>
      <t>30 DAYS</t>
    </r>
  </si>
  <si>
    <r>
      <rPr>
        <b/>
        <sz val="12"/>
        <rFont val="Arial"/>
        <family val="2"/>
      </rPr>
      <t>Purchase Order (PO) Issuance</t>
    </r>
  </si>
  <si>
    <r>
      <rPr>
        <sz val="12"/>
        <rFont val="Arial MT"/>
        <family val="2"/>
      </rPr>
      <t xml:space="preserve">• </t>
    </r>
    <r>
      <rPr>
        <b/>
        <sz val="12"/>
        <rFont val="Arial"/>
        <family val="2"/>
      </rPr>
      <t xml:space="preserve">The Purchase Order (PO) must be issued within Quotation validity period to the Dealer </t>
    </r>
    <r>
      <rPr>
        <sz val="12"/>
        <rFont val="Arial MT"/>
        <family val="2"/>
      </rPr>
      <t>authorised by the Company.</t>
    </r>
  </si>
  <si>
    <r>
      <rPr>
        <sz val="12"/>
        <rFont val="Arial MT"/>
        <family val="2"/>
      </rPr>
      <t>• Copy of the</t>
    </r>
    <r>
      <rPr>
        <b/>
        <sz val="12"/>
        <rFont val="Arial"/>
        <family val="2"/>
      </rPr>
      <t xml:space="preserve">PO must be sent to the Company as well </t>
    </r>
    <r>
      <rPr>
        <sz val="12"/>
        <rFont val="Arial MT"/>
        <family val="2"/>
      </rPr>
      <t xml:space="preserve">without fail within same timeline as mentioned above.
</t>
    </r>
    <r>
      <rPr>
        <sz val="12"/>
        <rFont val="Arial MT"/>
        <family val="2"/>
      </rPr>
      <t xml:space="preserve">• </t>
    </r>
    <r>
      <rPr>
        <b/>
        <sz val="12"/>
        <rFont val="Arial"/>
        <family val="2"/>
      </rPr>
      <t>PO Email</t>
    </r>
    <r>
      <rPr>
        <sz val="12"/>
        <rFont val="Arial MT"/>
        <family val="2"/>
      </rPr>
      <t xml:space="preserve">or correspondence </t>
    </r>
    <r>
      <rPr>
        <b/>
        <sz val="12"/>
        <rFont val="Arial"/>
        <family val="2"/>
      </rPr>
      <t>must be sent from your Authorised Person’s email ID Only</t>
    </r>
    <r>
      <rPr>
        <sz val="12"/>
        <rFont val="Arial MT"/>
        <family val="2"/>
      </rPr>
      <t>.</t>
    </r>
  </si>
  <si>
    <r>
      <rPr>
        <b/>
        <sz val="12"/>
        <rFont val="Arial"/>
        <family val="2"/>
      </rPr>
      <t>Price Validity</t>
    </r>
  </si>
  <si>
    <r>
      <rPr>
        <sz val="12"/>
        <rFont val="Arial MT"/>
        <family val="2"/>
      </rPr>
      <t xml:space="preserve">• The Agreed Rate will be validity for maximum period of </t>
    </r>
    <r>
      <rPr>
        <b/>
        <sz val="12"/>
        <rFont val="Arial"/>
        <family val="2"/>
      </rPr>
      <t xml:space="preserve">24 months </t>
    </r>
    <r>
      <rPr>
        <sz val="12"/>
        <rFont val="Arial MT"/>
        <family val="2"/>
      </rPr>
      <t>from date of issuance of Purchase Order, revised price will be applicable afterwards as mentioned in Clause-4 below.</t>
    </r>
  </si>
  <si>
    <r>
      <rPr>
        <b/>
        <sz val="12"/>
        <rFont val="Arial"/>
        <family val="2"/>
      </rPr>
      <t>Price Escalation</t>
    </r>
  </si>
  <si>
    <r>
      <rPr>
        <sz val="12"/>
        <rFont val="Arial MT"/>
        <family val="2"/>
      </rPr>
      <t xml:space="preserve">• </t>
    </r>
    <r>
      <rPr>
        <b/>
        <sz val="12"/>
        <rFont val="Arial"/>
        <family val="2"/>
      </rPr>
      <t xml:space="preserve">Price escalation </t>
    </r>
    <r>
      <rPr>
        <sz val="12"/>
        <rFont val="Arial MT"/>
        <family val="2"/>
      </rPr>
      <t xml:space="preserve">clause </t>
    </r>
    <r>
      <rPr>
        <b/>
        <sz val="12"/>
        <rFont val="Arial"/>
        <family val="2"/>
      </rPr>
      <t>will apply, in case of, purchase order quantity is not lifted within price validity period</t>
    </r>
    <r>
      <rPr>
        <sz val="12"/>
        <rFont val="Arial MT"/>
        <family val="2"/>
      </rPr>
      <t xml:space="preserve">. Company will, however, support you in terms of marginal price increase with limited validity period subject to following terms.
</t>
    </r>
    <r>
      <rPr>
        <sz val="12"/>
        <rFont val="Arial MT"/>
        <family val="2"/>
      </rPr>
      <t xml:space="preserve">• </t>
    </r>
    <r>
      <rPr>
        <b/>
        <sz val="12"/>
        <rFont val="Arial"/>
        <family val="2"/>
      </rPr>
      <t xml:space="preserve">Actual price increase </t>
    </r>
    <r>
      <rPr>
        <sz val="12"/>
        <rFont val="Arial MT"/>
        <family val="2"/>
      </rPr>
      <t xml:space="preserve">or </t>
    </r>
    <r>
      <rPr>
        <b/>
        <sz val="12"/>
        <rFont val="Arial"/>
        <family val="2"/>
      </rPr>
      <t xml:space="preserve">6% </t>
    </r>
    <r>
      <rPr>
        <sz val="12"/>
        <rFont val="Arial MT"/>
        <family val="2"/>
      </rPr>
      <t>whichever is l</t>
    </r>
    <r>
      <rPr>
        <b/>
        <sz val="12"/>
        <rFont val="Arial"/>
        <family val="2"/>
      </rPr>
      <t>ower will apply</t>
    </r>
    <r>
      <rPr>
        <sz val="12"/>
        <rFont val="Arial MT"/>
        <family val="2"/>
      </rPr>
      <t xml:space="preserve">.
</t>
    </r>
    <r>
      <rPr>
        <sz val="12"/>
        <rFont val="Arial MT"/>
        <family val="2"/>
      </rPr>
      <t xml:space="preserve">• This special price will be valid for Maximum period of </t>
    </r>
    <r>
      <rPr>
        <b/>
        <sz val="12"/>
        <rFont val="Arial"/>
        <family val="2"/>
      </rPr>
      <t xml:space="preserve">1 months </t>
    </r>
    <r>
      <rPr>
        <sz val="12"/>
        <rFont val="Arial MT"/>
        <family val="2"/>
      </rPr>
      <t xml:space="preserve">to lift pending order materials.
</t>
    </r>
    <r>
      <rPr>
        <sz val="12"/>
        <rFont val="Arial MT"/>
        <family val="2"/>
      </rPr>
      <t xml:space="preserve">• </t>
    </r>
    <r>
      <rPr>
        <b/>
        <sz val="12"/>
        <rFont val="Arial"/>
        <family val="2"/>
      </rPr>
      <t xml:space="preserve">After expiry </t>
    </r>
    <r>
      <rPr>
        <sz val="12"/>
        <rFont val="Arial MT"/>
        <family val="2"/>
      </rPr>
      <t xml:space="preserve">of extension period of special price, </t>
    </r>
    <r>
      <rPr>
        <b/>
        <sz val="12"/>
        <rFont val="Arial"/>
        <family val="2"/>
      </rPr>
      <t>revised rate as effective shall apply</t>
    </r>
    <r>
      <rPr>
        <sz val="12"/>
        <rFont val="Arial MT"/>
        <family val="2"/>
      </rPr>
      <t>.</t>
    </r>
  </si>
  <si>
    <r>
      <rPr>
        <b/>
        <sz val="12"/>
        <rFont val="Arial"/>
        <family val="2"/>
      </rPr>
      <t>Delivery Schedule</t>
    </r>
  </si>
  <si>
    <r>
      <rPr>
        <sz val="12"/>
        <rFont val="Arial MT"/>
        <family val="2"/>
      </rPr>
      <t xml:space="preserve">• </t>
    </r>
    <r>
      <rPr>
        <b/>
        <sz val="12"/>
        <rFont val="Arial"/>
        <family val="2"/>
      </rPr>
      <t xml:space="preserve">Delivery schedule must be given within price validity period </t>
    </r>
    <r>
      <rPr>
        <sz val="12"/>
        <rFont val="Arial MT"/>
        <family val="2"/>
      </rPr>
      <t xml:space="preserve">as mentioned above.
</t>
    </r>
    <r>
      <rPr>
        <sz val="12"/>
        <rFont val="Arial MT"/>
        <family val="2"/>
      </rPr>
      <t xml:space="preserve">• It means order must be scheduled for delivery within </t>
    </r>
    <r>
      <rPr>
        <b/>
        <sz val="12"/>
        <rFont val="Arial"/>
        <family val="2"/>
      </rPr>
      <t xml:space="preserve">6 months </t>
    </r>
    <r>
      <rPr>
        <sz val="12"/>
        <rFont val="Arial MT"/>
        <family val="2"/>
      </rPr>
      <t>from the date of the Purchase order.</t>
    </r>
  </si>
  <si>
    <r>
      <rPr>
        <b/>
        <sz val="12"/>
        <rFont val="Arial"/>
        <family val="2"/>
      </rPr>
      <t>Change of Delivery Schedule</t>
    </r>
  </si>
  <si>
    <r>
      <rPr>
        <sz val="12"/>
        <rFont val="Arial MT"/>
        <family val="2"/>
      </rPr>
      <t xml:space="preserve">• Delivery can be rescheduled at </t>
    </r>
    <r>
      <rPr>
        <b/>
        <sz val="12"/>
        <rFont val="Arial"/>
        <family val="2"/>
      </rPr>
      <t xml:space="preserve">15 days </t>
    </r>
    <r>
      <rPr>
        <sz val="12"/>
        <rFont val="Arial MT"/>
        <family val="2"/>
      </rPr>
      <t xml:space="preserve">prior notice, in writing, before original schedule date.
</t>
    </r>
    <r>
      <rPr>
        <sz val="12"/>
        <rFont val="Arial MT"/>
        <family val="2"/>
      </rPr>
      <t>• The revised schedule date, if any, must fall within price validity period.</t>
    </r>
  </si>
  <si>
    <r>
      <rPr>
        <b/>
        <sz val="12"/>
        <rFont val="Arial"/>
        <family val="2"/>
      </rPr>
      <t>Terms of Supply of Goods</t>
    </r>
  </si>
  <si>
    <r>
      <rPr>
        <sz val="12"/>
        <rFont val="Arial MT"/>
        <family val="2"/>
      </rPr>
      <t xml:space="preserve">• </t>
    </r>
    <r>
      <rPr>
        <b/>
        <sz val="12"/>
        <rFont val="Arial"/>
        <family val="2"/>
      </rPr>
      <t xml:space="preserve">Goods </t>
    </r>
    <r>
      <rPr>
        <sz val="12"/>
        <rFont val="Arial MT"/>
        <family val="2"/>
      </rPr>
      <t xml:space="preserve">will be </t>
    </r>
    <r>
      <rPr>
        <b/>
        <sz val="12"/>
        <rFont val="Arial"/>
        <family val="2"/>
      </rPr>
      <t xml:space="preserve">delivered at site </t>
    </r>
    <r>
      <rPr>
        <sz val="12"/>
        <rFont val="Arial MT"/>
        <family val="2"/>
      </rPr>
      <t xml:space="preserve">subject to minimum viable load.
</t>
    </r>
    <r>
      <rPr>
        <sz val="12"/>
        <rFont val="Arial MT"/>
        <family val="2"/>
      </rPr>
      <t xml:space="preserve">• Goods will be supplied </t>
    </r>
    <r>
      <rPr>
        <b/>
        <sz val="12"/>
        <rFont val="Arial"/>
        <family val="2"/>
      </rPr>
      <t xml:space="preserve">by the concerned Dealer (AD/MD/RSD/RD/ ASD) </t>
    </r>
    <r>
      <rPr>
        <sz val="12"/>
        <rFont val="Arial MT"/>
        <family val="2"/>
      </rPr>
      <t>as agreed.</t>
    </r>
  </si>
  <si>
    <r>
      <rPr>
        <b/>
        <sz val="12"/>
        <rFont val="Arial"/>
        <family val="2"/>
      </rPr>
      <t>Terms of payment</t>
    </r>
  </si>
  <si>
    <r>
      <rPr>
        <sz val="12"/>
        <rFont val="Arial MT"/>
        <family val="2"/>
      </rPr>
      <t xml:space="preserve">• </t>
    </r>
    <r>
      <rPr>
        <b/>
        <sz val="12"/>
        <rFont val="Arial"/>
        <family val="2"/>
      </rPr>
      <t xml:space="preserve">100 % advance payment </t>
    </r>
    <r>
      <rPr>
        <sz val="12"/>
        <rFont val="Arial MT"/>
        <family val="2"/>
      </rPr>
      <t xml:space="preserve">is must </t>
    </r>
    <r>
      <rPr>
        <b/>
        <sz val="12"/>
        <rFont val="Arial"/>
        <family val="2"/>
      </rPr>
      <t xml:space="preserve">with Purchase Order (PO).
</t>
    </r>
    <r>
      <rPr>
        <sz val="12"/>
        <rFont val="Arial MT"/>
        <family val="2"/>
      </rPr>
      <t xml:space="preserve">• Payment must be made </t>
    </r>
    <r>
      <rPr>
        <b/>
        <sz val="12"/>
        <rFont val="Arial"/>
        <family val="2"/>
      </rPr>
      <t xml:space="preserve">to the concerned Dealer within stipulated timeline </t>
    </r>
    <r>
      <rPr>
        <sz val="12"/>
        <rFont val="Arial MT"/>
        <family val="2"/>
      </rPr>
      <t>to ensure uninterrupted supply.</t>
    </r>
  </si>
  <si>
    <r>
      <rPr>
        <b/>
        <sz val="12"/>
        <rFont val="Arial"/>
        <family val="2"/>
      </rPr>
      <t>Communication</t>
    </r>
  </si>
  <si>
    <r>
      <rPr>
        <sz val="12"/>
        <rFont val="Arial MT"/>
        <family val="2"/>
      </rPr>
      <t xml:space="preserve">• </t>
    </r>
    <r>
      <rPr>
        <b/>
        <sz val="12"/>
        <rFont val="Arial"/>
        <family val="2"/>
      </rPr>
      <t xml:space="preserve">All Communication/Correspondence </t>
    </r>
    <r>
      <rPr>
        <sz val="12"/>
        <rFont val="Arial MT"/>
        <family val="2"/>
      </rPr>
      <t xml:space="preserve">must be made </t>
    </r>
    <r>
      <rPr>
        <b/>
        <sz val="12"/>
        <rFont val="Arial"/>
        <family val="2"/>
      </rPr>
      <t>in writing</t>
    </r>
    <r>
      <rPr>
        <sz val="12"/>
        <rFont val="Arial MT"/>
        <family val="2"/>
      </rPr>
      <t>. Verbal commitments are not admissible.</t>
    </r>
  </si>
  <si>
    <r>
      <rPr>
        <sz val="12"/>
        <rFont val="Arial MT"/>
        <family val="2"/>
      </rPr>
      <t xml:space="preserve">• All email or letter must be sent to </t>
    </r>
    <r>
      <rPr>
        <b/>
        <sz val="12"/>
        <rFont val="Arial"/>
        <family val="2"/>
      </rPr>
      <t xml:space="preserve">Project Head </t>
    </r>
    <r>
      <rPr>
        <sz val="12"/>
        <rFont val="Arial MT"/>
        <family val="2"/>
      </rPr>
      <t xml:space="preserve">and </t>
    </r>
    <r>
      <rPr>
        <b/>
        <sz val="12"/>
        <rFont val="Arial"/>
        <family val="2"/>
      </rPr>
      <t xml:space="preserve">Branch Head </t>
    </r>
    <r>
      <rPr>
        <sz val="12"/>
        <rFont val="Arial MT"/>
        <family val="2"/>
      </rPr>
      <t xml:space="preserve">of Company at </t>
    </r>
    <r>
      <rPr>
        <b/>
        <sz val="12"/>
        <rFont val="Arial"/>
        <family val="2"/>
      </rPr>
      <t xml:space="preserve">and and with CC to KPAM@jaquar.com
</t>
    </r>
    <r>
      <rPr>
        <sz val="12"/>
        <rFont val="Arial MT"/>
        <family val="2"/>
      </rPr>
      <t>• Company will be sending all communication to email ID of person authorised by you or at your office address.</t>
    </r>
  </si>
  <si>
    <r>
      <rPr>
        <b/>
        <sz val="12"/>
        <rFont val="Arial"/>
        <family val="2"/>
      </rPr>
      <t xml:space="preserve">Modification or Upgradation
</t>
    </r>
    <r>
      <rPr>
        <b/>
        <sz val="12"/>
        <rFont val="Arial"/>
        <family val="2"/>
      </rPr>
      <t>of Product</t>
    </r>
  </si>
  <si>
    <r>
      <rPr>
        <sz val="12"/>
        <rFont val="Arial MT"/>
        <family val="2"/>
      </rPr>
      <t>• In case of modification in product, modified product with betterment will be given in the interest of the customer.</t>
    </r>
  </si>
  <si>
    <r>
      <rPr>
        <b/>
        <sz val="12"/>
        <rFont val="Arial"/>
        <family val="2"/>
      </rPr>
      <t xml:space="preserve">Discontinuance of Product
</t>
    </r>
    <r>
      <rPr>
        <b/>
        <sz val="12"/>
        <rFont val="Arial"/>
        <family val="2"/>
      </rPr>
      <t>to bring New or Modified Product</t>
    </r>
  </si>
  <si>
    <r>
      <rPr>
        <sz val="12"/>
        <rFont val="Arial MT"/>
        <family val="2"/>
      </rPr>
      <t xml:space="preserve">• An intimation of product discontinuance will be given with a stipulated timeline till which it will be available.
</t>
    </r>
    <r>
      <rPr>
        <sz val="12"/>
        <rFont val="Arial MT"/>
        <family val="2"/>
      </rPr>
      <t xml:space="preserve">• Company will give you </t>
    </r>
    <r>
      <rPr>
        <b/>
        <sz val="12"/>
        <rFont val="Arial"/>
        <family val="2"/>
      </rPr>
      <t xml:space="preserve">maximum 6 (six) months' </t>
    </r>
    <r>
      <rPr>
        <sz val="12"/>
        <rFont val="Arial MT"/>
        <family val="2"/>
      </rPr>
      <t xml:space="preserve">time from </t>
    </r>
    <r>
      <rPr>
        <b/>
        <sz val="12"/>
        <rFont val="Arial"/>
        <family val="2"/>
      </rPr>
      <t xml:space="preserve">date of intimation </t>
    </r>
    <r>
      <rPr>
        <sz val="12"/>
        <rFont val="Arial MT"/>
        <family val="2"/>
      </rPr>
      <t xml:space="preserve">as mentioned above, </t>
    </r>
    <r>
      <rPr>
        <b/>
        <sz val="12"/>
        <rFont val="Arial"/>
        <family val="2"/>
      </rPr>
      <t xml:space="preserve">to place the order </t>
    </r>
    <r>
      <rPr>
        <sz val="12"/>
        <rFont val="Arial MT"/>
        <family val="2"/>
      </rPr>
      <t xml:space="preserve">for the "product to be discontinued"
</t>
    </r>
    <r>
      <rPr>
        <sz val="12"/>
        <rFont val="Arial MT"/>
        <family val="2"/>
      </rPr>
      <t xml:space="preserve">• It is preferred to have revised PO for New or Modified product having
</t>
    </r>
    <r>
      <rPr>
        <b/>
        <sz val="12"/>
        <rFont val="Arial"/>
        <family val="2"/>
      </rPr>
      <t>improvised feature and efficiency</t>
    </r>
  </si>
  <si>
    <r>
      <rPr>
        <b/>
        <sz val="12"/>
        <rFont val="Arial"/>
        <family val="2"/>
      </rPr>
      <t xml:space="preserve">Modification Request for
</t>
    </r>
    <r>
      <rPr>
        <b/>
        <sz val="12"/>
        <rFont val="Arial"/>
        <family val="2"/>
      </rPr>
      <t>"Customised Product"</t>
    </r>
  </si>
  <si>
    <r>
      <rPr>
        <sz val="12"/>
        <rFont val="Arial MT"/>
        <family val="2"/>
      </rPr>
      <t>• Request for modification in customised item will not be admissible after issuance ofPurchase Order (PO)</t>
    </r>
  </si>
  <si>
    <r>
      <rPr>
        <b/>
        <sz val="12"/>
        <rFont val="Arial"/>
        <family val="2"/>
      </rPr>
      <t>Warranty</t>
    </r>
  </si>
  <si>
    <r>
      <rPr>
        <sz val="12"/>
        <rFont val="Arial MT"/>
        <family val="2"/>
      </rPr>
      <t xml:space="preserve">• All products are covered under standard warranty policy of the company applicable for the product.
</t>
    </r>
    <r>
      <rPr>
        <sz val="12"/>
        <rFont val="Arial MT"/>
        <family val="2"/>
      </rPr>
      <t>• Warranty certificate can be obtained from our website www.jaquar.com after registration.</t>
    </r>
  </si>
  <si>
    <r>
      <rPr>
        <b/>
        <sz val="12"/>
        <rFont val="Arial"/>
        <family val="2"/>
      </rPr>
      <t>Special Service Support</t>
    </r>
  </si>
  <si>
    <r>
      <rPr>
        <sz val="12"/>
        <rFont val="Arial MT"/>
        <family val="2"/>
      </rPr>
      <t xml:space="preserve">• Our branch service person will establish contact with your project team within 10-15 days of issuance of the PO to schedule Jaquar Project-wise customer care support guidance.
</t>
    </r>
    <r>
      <rPr>
        <sz val="12"/>
        <rFont val="Arial MT"/>
        <family val="2"/>
      </rPr>
      <t xml:space="preserve">• They will be visiting site from time for guidance to your project execution team for right product installation and pre-operative activities.
</t>
    </r>
    <r>
      <rPr>
        <sz val="12"/>
        <rFont val="Arial MT"/>
        <family val="2"/>
      </rPr>
      <t>• They will be arranging service camp(s) post agreed occupancy of the site so that customer is guided for product maintenance as well as way to ways to access Jaquar Customer care for assistance, if any.</t>
    </r>
  </si>
  <si>
    <r>
      <rPr>
        <b/>
        <sz val="12"/>
        <rFont val="Arial"/>
        <family val="2"/>
      </rPr>
      <t>Installation Charges</t>
    </r>
  </si>
  <si>
    <r>
      <rPr>
        <sz val="12"/>
        <rFont val="Arial MT"/>
        <family val="2"/>
      </rPr>
      <t xml:space="preserve">• </t>
    </r>
    <r>
      <rPr>
        <b/>
        <sz val="12"/>
        <rFont val="Arial"/>
        <family val="2"/>
      </rPr>
      <t>Installation charges</t>
    </r>
    <r>
      <rPr>
        <sz val="12"/>
        <rFont val="Arial MT"/>
        <family val="2"/>
      </rPr>
      <t>, as per quotation (if any), to be paid to the Authorised Service Provider for the product applicable.</t>
    </r>
  </si>
  <si>
    <r>
      <rPr>
        <b/>
        <sz val="12"/>
        <rFont val="Arial"/>
        <family val="2"/>
      </rPr>
      <t xml:space="preserve">Additional Terms Applicable
</t>
    </r>
    <r>
      <rPr>
        <b/>
        <sz val="12"/>
        <rFont val="Arial"/>
        <family val="2"/>
      </rPr>
      <t>for Shower Enclosure, only</t>
    </r>
  </si>
  <si>
    <r>
      <rPr>
        <sz val="12"/>
        <rFont val="Arial MT"/>
        <family val="2"/>
      </rPr>
      <t xml:space="preserve">• Delivery period for Shower Enclosure:
</t>
    </r>
    <r>
      <rPr>
        <sz val="12"/>
        <rFont val="Arial MT"/>
        <family val="2"/>
      </rPr>
      <t xml:space="preserve">1. Minimum </t>
    </r>
    <r>
      <rPr>
        <b/>
        <sz val="12"/>
        <rFont val="Arial"/>
        <family val="2"/>
      </rPr>
      <t xml:space="preserve">20 Days </t>
    </r>
    <r>
      <rPr>
        <sz val="12"/>
        <rFont val="Arial MT"/>
        <family val="2"/>
      </rPr>
      <t xml:space="preserve">from the receipt of PO if </t>
    </r>
    <r>
      <rPr>
        <b/>
        <sz val="12"/>
        <rFont val="Arial"/>
        <family val="2"/>
      </rPr>
      <t>quantity &gt;=75 Units;</t>
    </r>
  </si>
  <si>
    <r>
      <rPr>
        <sz val="12"/>
        <rFont val="Arial MT"/>
        <family val="2"/>
      </rPr>
      <t xml:space="preserve">2. Minimum </t>
    </r>
    <r>
      <rPr>
        <b/>
        <sz val="12"/>
        <rFont val="Arial"/>
        <family val="2"/>
      </rPr>
      <t xml:space="preserve">25 Days </t>
    </r>
    <r>
      <rPr>
        <sz val="12"/>
        <rFont val="Arial MT"/>
        <family val="2"/>
      </rPr>
      <t xml:space="preserve">from the receipt of PO if </t>
    </r>
    <r>
      <rPr>
        <b/>
        <sz val="12"/>
        <rFont val="Arial"/>
        <family val="2"/>
      </rPr>
      <t>quantity &lt;75 Units</t>
    </r>
    <r>
      <rPr>
        <sz val="12"/>
        <rFont val="Arial MT"/>
        <family val="2"/>
      </rPr>
      <t xml:space="preserve">.
</t>
    </r>
    <r>
      <rPr>
        <sz val="12"/>
        <rFont val="Arial MT"/>
        <family val="2"/>
      </rPr>
      <t xml:space="preserve">3.  No modification / Cancellation possible after PO is given
</t>
    </r>
    <r>
      <rPr>
        <sz val="12"/>
        <rFont val="Arial MT"/>
        <family val="2"/>
      </rPr>
      <t xml:space="preserve">• Company’s authorized service provider will install the product.
</t>
    </r>
    <r>
      <rPr>
        <sz val="12"/>
        <rFont val="Arial MT"/>
        <family val="2"/>
      </rPr>
      <t xml:space="preserve">• Service personnel takes necessary care while installing a product, not withstanding, company or service personnel will not be held responsible for any tile/stone breakage during installation.
</t>
    </r>
    <r>
      <rPr>
        <sz val="12"/>
        <rFont val="Arial MT"/>
        <family val="2"/>
      </rPr>
      <t xml:space="preserve">• The technician should be informed about any concealed /hidden piping/item behind the wall and surrounding of installation site at the time of final measurement to prevent any damage to pipe etc.
</t>
    </r>
    <r>
      <rPr>
        <sz val="12"/>
        <rFont val="Arial MT"/>
        <family val="2"/>
      </rPr>
      <t xml:space="preserve">• Dedicated Storage space with lock and key to be provided at site to avoid any theft / damage, if required.
</t>
    </r>
    <r>
      <rPr>
        <sz val="12"/>
        <rFont val="Arial MT"/>
        <family val="2"/>
      </rPr>
      <t xml:space="preserve">• Lift Service is to be provided or made available for use to carry product to installation site.
</t>
    </r>
    <r>
      <rPr>
        <sz val="12"/>
        <rFont val="Arial MT"/>
        <family val="2"/>
      </rPr>
      <t>• Suitable electrical connection is to be provided for efficient working of power tools required for installation</t>
    </r>
  </si>
  <si>
    <r>
      <rPr>
        <b/>
        <sz val="12"/>
        <rFont val="Arial"/>
        <family val="2"/>
      </rPr>
      <t>Others</t>
    </r>
  </si>
  <si>
    <t>UNITET DEVELOPERS PRIVET LTD.</t>
  </si>
  <si>
    <r>
      <t>Sr.No. 99/9/4, Bh minar building, 1</t>
    </r>
    <r>
      <rPr>
        <vertAlign val="superscript"/>
        <sz val="20"/>
        <color theme="1"/>
        <rFont val="Times New Roman"/>
        <family val="1"/>
      </rPr>
      <t>st</t>
    </r>
    <r>
      <rPr>
        <sz val="20"/>
        <color theme="1"/>
        <rFont val="Times New Roman"/>
        <family val="1"/>
      </rPr>
      <t xml:space="preserve"> floor, kondhawa khurd, PUNE. </t>
    </r>
  </si>
  <si>
    <t>PURCHASE ORDER</t>
  </si>
  <si>
    <t xml:space="preserve">PO. No.- TR- 24-25/ DEC -12.                                                                                                                   </t>
  </si>
  <si>
    <t>Date: –11/12/2025</t>
  </si>
  <si>
    <t>To,</t>
  </si>
  <si>
    <t>The Director,</t>
  </si>
  <si>
    <t>CHOICE SANITIONS</t>
  </si>
  <si>
    <t>GAT NO:-27AADFC3042K1ZM</t>
  </si>
  <si>
    <t>Address:-Lane No.8 opp.ganesh mandir,vishrantwadi-airportroad,adarsh colony,tingarenagar,null,pune,maharashtra</t>
  </si>
  <si>
    <t>DIST – PUNE- 411032.</t>
  </si>
  <si>
    <t>Email:choice.sanitation@gmail.com</t>
  </si>
  <si>
    <t>Mobile no:-9823028060.</t>
  </si>
  <si>
    <t>Dear Sir,</t>
  </si>
  <si>
    <t>With reference to the above quotation and the negotiation and discussion that followed, we are pleases to place this purchase order on your for supply of ready mixed plaster for our above- mentioned site at the rates mentioned below</t>
  </si>
  <si>
    <t>Quote Number : Q-527043</t>
  </si>
  <si>
    <t>Q No.527043</t>
  </si>
  <si>
    <t>Sub: Purchase Order for supply of Cp Sanitary for our Project: -At Site –BT SQUARE, CTS 400, Quarter Gate Chowk, New Nana Peth, Ganesh Peth, Pune, Maharashtra 411002.</t>
  </si>
  <si>
    <r>
      <t>(1)</t>
    </r>
    <r>
      <rPr>
        <b/>
        <sz val="16"/>
        <color theme="1"/>
        <rFont val="Times New Roman"/>
        <family val="1"/>
      </rPr>
      <t xml:space="preserve">  </t>
    </r>
    <r>
      <rPr>
        <b/>
        <sz val="16"/>
        <color theme="1"/>
        <rFont val="Cambria"/>
        <family val="1"/>
      </rPr>
      <t>GST is inclusive  in the above Rate.@ 18% ( on basic ) Our Firm Name &amp; GST NO BELOW-</t>
    </r>
  </si>
  <si>
    <t>NAME - UNITET DEVELOPERS PRIVET LIMITED</t>
  </si>
  <si>
    <t xml:space="preserve">GST NO - 27AACCU7599R1Z3 </t>
  </si>
  <si>
    <r>
      <t xml:space="preserve">         PAN: -</t>
    </r>
    <r>
      <rPr>
        <sz val="16"/>
        <color theme="1"/>
        <rFont val="Times New Roman"/>
        <family val="1"/>
      </rPr>
      <t xml:space="preserve">   </t>
    </r>
    <r>
      <rPr>
        <b/>
        <sz val="16"/>
        <color theme="1"/>
        <rFont val="Times New Roman"/>
        <family val="1"/>
      </rPr>
      <t>AACCU7599R</t>
    </r>
  </si>
  <si>
    <t>2) ABOVE RATES INCLUDING GST.</t>
  </si>
  <si>
    <t>3) ABOVE RATES ARE INCLUDING LOADING &amp; TRANSPORT.</t>
  </si>
  <si>
    <t>4) UNLOADING OF MATERIEL IN CLIENTS SCOPE.</t>
  </si>
  <si>
    <t>5) PAYMENT WILL DONE AFTER WITHIN 24 HORS AFTER MATERIEL UNLOADING.</t>
  </si>
  <si>
    <t>6) PAYMENT WILL DONE AFTER WITHIN 24 HORS AFTER MATERIEL UNLOADING.</t>
  </si>
  <si>
    <t xml:space="preserve"> Contact Person  –PM Kanhu Katke  – 7350840980</t>
  </si>
  <si>
    <t>Thanking you,</t>
  </si>
  <si>
    <t>MATERIAL DELIVERY SCHEDULE=00/00/2025.</t>
  </si>
  <si>
    <t>CHOICE SANITATIONS</t>
  </si>
  <si>
    <t>Address:-Lane no.8 opp.ganesh mandir, vishrantwadi - airport road, adarsh colony, tingare nagar, Pune, Maharashtra.</t>
  </si>
  <si>
    <t>Dist – Pune- 411032.</t>
  </si>
  <si>
    <t>Email: choice.sanitation@gmail.com</t>
  </si>
  <si>
    <t xml:space="preserve"> Mobile no:-9823028060.</t>
  </si>
  <si>
    <t>With reference to the above quotation and the negotiation and discussion that followed, we are pleases to place this purchase order on your for supply of CP, Sanitary for our above- mentioned site at the rates mentioned below</t>
  </si>
  <si>
    <t>SHOWER AREA</t>
  </si>
  <si>
    <t xml:space="preserve">BASIN AREA </t>
  </si>
  <si>
    <t>COMOD AREA</t>
  </si>
  <si>
    <r>
      <t xml:space="preserve">KITCHEN &amp; DRY
</t>
    </r>
    <r>
      <rPr>
        <sz val="15"/>
        <rFont val="Arial MT"/>
        <family val="2"/>
      </rPr>
      <t>BALCONY</t>
    </r>
  </si>
  <si>
    <t>Terms &amp; Conditions:</t>
  </si>
  <si>
    <r>
      <t>(1)</t>
    </r>
    <r>
      <rPr>
        <b/>
        <sz val="12"/>
        <color theme="1"/>
        <rFont val="Times New Roman"/>
        <family val="1"/>
      </rPr>
      <t xml:space="preserve">  </t>
    </r>
    <r>
      <rPr>
        <b/>
        <sz val="12"/>
        <color theme="1"/>
        <rFont val="Cambria"/>
        <family val="1"/>
      </rPr>
      <t>GST is inclusive  in the above Rate.@ 18% ( on basic ) Our Firm Name &amp; GST No. below-</t>
    </r>
  </si>
  <si>
    <t>2) Above rates including GST.</t>
  </si>
  <si>
    <t>3) Above rates are including loading &amp; transport.</t>
  </si>
  <si>
    <t>4) Unloading of material in clients scope.</t>
  </si>
  <si>
    <t>5) Payment will done after within 24 hours after material unloading.</t>
  </si>
  <si>
    <t>6) The Agreed Rate will be valid for maximum period of 24 months from date of issuance of Purchase Order.</t>
  </si>
  <si>
    <t xml:space="preserve">7) Material will be lifted as per site condition. </t>
  </si>
  <si>
    <t xml:space="preserve"> CONTACT  – GM KAHNU KATKE  – 7350840980</t>
  </si>
  <si>
    <r>
      <rPr>
        <b/>
        <sz val="12"/>
        <rFont val="Arial"/>
        <family val="2"/>
      </rPr>
      <t xml:space="preserve">Quote Number : </t>
    </r>
    <r>
      <rPr>
        <b/>
        <sz val="12"/>
        <rFont val="Arial MT"/>
        <family val="2"/>
      </rPr>
      <t>Q-527043</t>
    </r>
  </si>
  <si>
    <t>URINAL AREA</t>
  </si>
  <si>
    <r>
      <rPr>
        <b/>
        <sz val="12"/>
        <rFont val="Arial"/>
        <family val="2"/>
      </rPr>
      <t xml:space="preserve">Net
Amt : </t>
    </r>
    <r>
      <rPr>
        <sz val="12"/>
        <rFont val="Arial MT"/>
        <family val="2"/>
      </rPr>
      <t>75,77,936</t>
    </r>
  </si>
  <si>
    <r>
      <rPr>
        <b/>
        <sz val="12"/>
        <rFont val="Arial"/>
        <family val="2"/>
      </rPr>
      <t xml:space="preserve">Total TAX : </t>
    </r>
    <r>
      <rPr>
        <sz val="12"/>
        <rFont val="Arial MT"/>
        <family val="2"/>
      </rPr>
      <t>INR
11,55,956.40</t>
    </r>
  </si>
  <si>
    <r>
      <rPr>
        <b/>
        <sz val="12"/>
        <rFont val="Arial"/>
        <family val="2"/>
      </rPr>
      <t xml:space="preserve">Total Taxable
Amt :   </t>
    </r>
    <r>
      <rPr>
        <sz val="12"/>
        <rFont val="Arial MT"/>
        <family val="2"/>
      </rPr>
      <t>INR 64,21,980.00</t>
    </r>
  </si>
  <si>
    <r>
      <rPr>
        <b/>
        <sz val="12"/>
        <rFont val="Arial"/>
        <family val="2"/>
      </rPr>
      <t xml:space="preserve">Total MRP : </t>
    </r>
    <r>
      <rPr>
        <sz val="12"/>
        <rFont val="Arial MT"/>
        <family val="2"/>
      </rPr>
      <t>INR
1,10,39,950.00</t>
    </r>
  </si>
  <si>
    <r>
      <t xml:space="preserve">Amount (In Words): </t>
    </r>
    <r>
      <rPr>
        <sz val="12"/>
        <color rgb="FF000000"/>
        <rFont val="Arial MT"/>
      </rPr>
      <t xml:space="preserve">Seventy Five Lakh Seventy Seven Thousand Nine Hundred Thirty Six Rupees
</t>
    </r>
  </si>
  <si>
    <t>Shreeyash Infra Realty Private Limited</t>
  </si>
  <si>
    <t xml:space="preserve">          NAME - SHREEYASH INFRA REALTY PRIVATE LIMITED</t>
  </si>
  <si>
    <t xml:space="preserve">          GST NO - 27AATCS6124M1ZN</t>
  </si>
  <si>
    <r>
      <t xml:space="preserve">           PAN: -</t>
    </r>
    <r>
      <rPr>
        <sz val="12"/>
        <color theme="1"/>
        <rFont val="Times New Roman"/>
        <family val="1"/>
      </rPr>
      <t xml:space="preserve">   </t>
    </r>
    <r>
      <rPr>
        <b/>
        <sz val="12"/>
        <color theme="1"/>
        <rFont val="Times New Roman"/>
        <family val="1"/>
      </rPr>
      <t>AATCS6124M</t>
    </r>
  </si>
  <si>
    <t>SITE CONTACT – ANURAG SHINDE - 8317240230</t>
  </si>
  <si>
    <t>SHREEYASH INFRA REALTY PRIVATE LIMITED</t>
  </si>
  <si>
    <t xml:space="preserve">Sr.No. 36/2/2, NR Flour Mill, Dhanori, Pune. 411015 </t>
  </si>
  <si>
    <t>Date: –18/12/2025</t>
  </si>
  <si>
    <t xml:space="preserve">PO. No.- TR- 24-25/ DEC -18.                                                                                                                   </t>
  </si>
  <si>
    <t>kanhu1971@yahoo.co.in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</si>
</sst>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INR]\ #,##0.00"/>
    <numFmt numFmtId="165" formatCode="[$INR]\ 0.00"/>
    <numFmt numFmtId="166" formatCode="0."/>
  </numFmts>
  <fonts count="38">
    <font>
      <sz val="10"/>
      <color rgb="FF000000"/>
      <name val="Times New Roman"/>
      <charset val="204"/>
    </font>
    <font>
      <b/>
      <sz val="12"/>
      <name val="Arial"/>
      <family val="2"/>
    </font>
    <font>
      <sz val="12"/>
      <name val="Arial MT"/>
    </font>
    <font>
      <sz val="12"/>
      <color rgb="FF000000"/>
      <name val="Arial MT"/>
      <family val="2"/>
    </font>
    <font>
      <b/>
      <sz val="16"/>
      <name val="Arial"/>
      <family val="2"/>
    </font>
    <font>
      <b/>
      <sz val="9"/>
      <name val="Arial"/>
      <family val="2"/>
    </font>
    <font>
      <sz val="9"/>
      <color rgb="FF000000"/>
      <name val="Arial MT"/>
      <family val="2"/>
    </font>
    <font>
      <sz val="9"/>
      <name val="Arial MT"/>
    </font>
    <font>
      <sz val="15"/>
      <name val="Arial MT"/>
    </font>
    <font>
      <sz val="12"/>
      <name val="Arial MT"/>
      <family val="2"/>
    </font>
    <font>
      <b/>
      <u/>
      <sz val="16"/>
      <name val="Arial"/>
      <family val="2"/>
    </font>
    <font>
      <sz val="15"/>
      <name val="Arial MT"/>
      <family val="2"/>
    </font>
    <font>
      <sz val="9"/>
      <name val="Arial MT"/>
      <family val="2"/>
    </font>
    <font>
      <b/>
      <u/>
      <sz val="12"/>
      <name val="Arial"/>
      <family val="2"/>
    </font>
    <font>
      <b/>
      <sz val="28"/>
      <color rgb="FFFF6600"/>
      <name val="Times New Roman"/>
      <family val="1"/>
    </font>
    <font>
      <b/>
      <sz val="22"/>
      <color rgb="FFFF6600"/>
      <name val="Times New Roman"/>
      <family val="1"/>
    </font>
    <font>
      <sz val="20"/>
      <color theme="1"/>
      <name val="Times New Roman"/>
      <family val="1"/>
    </font>
    <font>
      <vertAlign val="superscript"/>
      <sz val="20"/>
      <color theme="1"/>
      <name val="Times New Roman"/>
      <family val="1"/>
    </font>
    <font>
      <b/>
      <u/>
      <sz val="16"/>
      <color theme="1"/>
      <name val="Times New Roman"/>
      <family val="1"/>
    </font>
    <font>
      <sz val="16"/>
      <color theme="1"/>
      <name val="Times New Roman"/>
      <family val="1"/>
    </font>
    <font>
      <b/>
      <sz val="14"/>
      <color theme="1"/>
      <name val="Times New Roman"/>
      <family val="1"/>
    </font>
    <font>
      <sz val="14"/>
      <color theme="1"/>
      <name val="Times New Roman"/>
      <family val="1"/>
    </font>
    <font>
      <b/>
      <sz val="20"/>
      <color theme="1"/>
      <name val="Times New Roman"/>
      <family val="1"/>
    </font>
    <font>
      <b/>
      <sz val="16"/>
      <color theme="1"/>
      <name val="Times New Roman"/>
      <family val="1"/>
    </font>
    <font>
      <sz val="14"/>
      <color theme="1"/>
      <name val="Cambria"/>
      <family val="1"/>
    </font>
    <font>
      <b/>
      <sz val="16"/>
      <color theme="1"/>
      <name val="Cambria"/>
      <family val="1"/>
    </font>
    <font>
      <sz val="16"/>
      <color theme="1"/>
      <name val="Cambria"/>
      <family val="1"/>
    </font>
    <font>
      <u/>
      <sz val="10"/>
      <color theme="10"/>
      <name val="Times New Roman"/>
      <family val="1"/>
    </font>
    <font>
      <b/>
      <sz val="10"/>
      <color rgb="FF000000"/>
      <name val="Times New Roman"/>
      <family val="1"/>
    </font>
    <font>
      <b/>
      <sz val="12"/>
      <name val="Arial MT"/>
      <family val="2"/>
    </font>
    <font>
      <b/>
      <sz val="12"/>
      <color rgb="FF000000"/>
      <name val="Arial"/>
      <family val="2"/>
    </font>
    <font>
      <sz val="12"/>
      <color rgb="FF000000"/>
      <name val="Arial MT"/>
    </font>
    <font>
      <b/>
      <sz val="12"/>
      <color theme="1"/>
      <name val="Cambria"/>
      <family val="1"/>
    </font>
    <font>
      <b/>
      <sz val="12"/>
      <color theme="1"/>
      <name val="Times New Roman"/>
      <family val="1"/>
    </font>
    <font>
      <sz val="12"/>
      <color theme="1"/>
      <name val="Times New Roman"/>
      <family val="1"/>
    </font>
    <font>
      <sz val="12"/>
      <color theme="1"/>
      <name val="Cambria"/>
      <family val="1"/>
    </font>
    <font>
      <b/>
      <sz val="12"/>
      <name val="Times New Roman"/>
      <family val="1"/>
    </font>
    <font>
      <sz val="12"/>
      <name val="Times New Roman"/>
      <family val="1"/>
    </font>
  </fonts>
  <fills count="3">
    <fill>
      <patternFill patternType="none"/>
    </fill>
    <fill>
      <patternFill patternType="gray125"/>
    </fill>
    <fill>
      <patternFill patternType="solid">
        <fgColor theme="7" tint="0.59999389629810485"/>
        <bgColor indexed="64"/>
      </patternFill>
    </fill>
  </fills>
  <borders count="32">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diagonal/>
    </border>
    <border>
      <left/>
      <right style="thin">
        <color rgb="FF000000"/>
      </right>
      <top style="thin">
        <color indexed="64"/>
      </top>
      <bottom style="thin">
        <color indexed="64"/>
      </bottom>
      <diagonal/>
    </border>
  </borders>
  <cellStyleXfs count="2">
    <xf numFmtId="0" fontId="0" fillId="0" borderId="0"/>
    <xf numFmtId="0" fontId="27" fillId="0" borderId="0" applyNumberFormat="0" applyFill="0" applyBorder="0" applyAlignment="0" applyProtection="0"/>
  </cellStyleXfs>
  <cellXfs count="229">
    <xf numFmtId="0" fontId="0" fillId="0" borderId="0" xfId="0" applyFill="1" applyBorder="1" applyAlignment="1">
      <alignment horizontal="left" vertical="top"/>
    </xf>
    <xf numFmtId="0" fontId="0" fillId="0" borderId="4" xfId="0" applyFill="1" applyBorder="1" applyAlignment="1">
      <alignment horizontal="left" vertical="top" wrapText="1"/>
    </xf>
    <xf numFmtId="0" fontId="5" fillId="0" borderId="4" xfId="0" applyFont="1" applyFill="1" applyBorder="1" applyAlignment="1">
      <alignment horizontal="left" vertical="top" wrapText="1" indent="1"/>
    </xf>
    <xf numFmtId="0" fontId="5" fillId="0" borderId="4" xfId="0" applyFont="1" applyFill="1" applyBorder="1" applyAlignment="1">
      <alignment horizontal="left" vertical="top" wrapText="1"/>
    </xf>
    <xf numFmtId="0" fontId="5" fillId="0" borderId="4" xfId="0" applyFont="1" applyFill="1" applyBorder="1" applyAlignment="1">
      <alignment horizontal="center" vertical="top" wrapText="1"/>
    </xf>
    <xf numFmtId="0" fontId="0" fillId="0" borderId="4" xfId="0" applyFill="1" applyBorder="1" applyAlignment="1">
      <alignment horizontal="center" vertical="top" wrapText="1"/>
    </xf>
    <xf numFmtId="1"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1"/>
    </xf>
    <xf numFmtId="1"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indent="1" shrinkToFit="1"/>
    </xf>
    <xf numFmtId="0" fontId="7" fillId="0" borderId="4" xfId="0" applyFont="1" applyFill="1" applyBorder="1" applyAlignment="1">
      <alignment horizontal="left" vertical="top" wrapText="1"/>
    </xf>
    <xf numFmtId="2"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shrinkToFit="1"/>
    </xf>
    <xf numFmtId="0" fontId="7" fillId="0" borderId="4" xfId="0" applyFont="1" applyFill="1" applyBorder="1" applyAlignment="1">
      <alignment horizontal="center" vertical="top" wrapText="1"/>
    </xf>
    <xf numFmtId="165" fontId="6" fillId="0" borderId="4" xfId="0" applyNumberFormat="1" applyFont="1" applyFill="1" applyBorder="1" applyAlignment="1">
      <alignment horizontal="center" vertical="top" shrinkToFit="1"/>
    </xf>
    <xf numFmtId="165" fontId="6" fillId="0" borderId="4" xfId="0" applyNumberFormat="1" applyFont="1" applyFill="1" applyBorder="1" applyAlignment="1">
      <alignment horizontal="left" vertical="top" indent="1" shrinkToFit="1"/>
    </xf>
    <xf numFmtId="2"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8"/>
    </xf>
    <xf numFmtId="0" fontId="7" fillId="0" borderId="4" xfId="0" applyFont="1" applyFill="1" applyBorder="1" applyAlignment="1">
      <alignment horizontal="left" vertical="top" wrapText="1" indent="14"/>
    </xf>
    <xf numFmtId="0" fontId="5" fillId="0" borderId="4" xfId="0" applyFont="1" applyFill="1" applyBorder="1" applyAlignment="1">
      <alignment horizontal="left" vertical="top" wrapText="1" indent="2"/>
    </xf>
    <xf numFmtId="164"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indent="15" shrinkToFit="1"/>
    </xf>
    <xf numFmtId="164" fontId="6" fillId="0" borderId="3" xfId="0" applyNumberFormat="1" applyFont="1" applyFill="1" applyBorder="1" applyAlignment="1">
      <alignment horizontal="left" vertical="top" indent="1" shrinkToFit="1"/>
    </xf>
    <xf numFmtId="0" fontId="0" fillId="0" borderId="3" xfId="0" applyFill="1" applyBorder="1" applyAlignment="1">
      <alignment horizontal="center" vertical="top" wrapText="1"/>
    </xf>
    <xf numFmtId="0" fontId="19" fillId="0" borderId="0" xfId="0" applyFont="1" applyAlignment="1">
      <alignment horizontal="left"/>
    </xf>
    <xf numFmtId="0" fontId="20" fillId="0" borderId="11" xfId="0" applyFont="1" applyBorder="1" applyAlignment="1"/>
    <xf numFmtId="0" fontId="20" fillId="0" borderId="12" xfId="0" applyFont="1" applyBorder="1" applyAlignment="1"/>
    <xf numFmtId="0" fontId="20" fillId="0" borderId="13" xfId="0" applyFont="1" applyBorder="1" applyAlignment="1"/>
    <xf numFmtId="0" fontId="20" fillId="0" borderId="16" xfId="0" applyFont="1" applyBorder="1" applyAlignment="1">
      <alignment horizontal="left"/>
    </xf>
    <xf numFmtId="0" fontId="21" fillId="0" borderId="0" xfId="0" applyFont="1" applyAlignment="1">
      <alignment horizontal="left"/>
    </xf>
    <xf numFmtId="0" fontId="21" fillId="0" borderId="0" xfId="0" applyFont="1" applyBorder="1" applyAlignment="1"/>
    <xf numFmtId="0" fontId="22" fillId="2" borderId="16" xfId="0" applyFont="1" applyFill="1" applyBorder="1" applyAlignment="1">
      <alignment horizontal="left"/>
    </xf>
    <xf numFmtId="0" fontId="0" fillId="0" borderId="0" xfId="0"/>
    <xf numFmtId="0" fontId="20" fillId="0" borderId="17" xfId="0" applyFont="1" applyBorder="1" applyAlignment="1">
      <alignment vertical="center"/>
    </xf>
    <xf numFmtId="0" fontId="20" fillId="0" borderId="18" xfId="0" applyFont="1" applyBorder="1" applyAlignment="1">
      <alignment vertical="center"/>
    </xf>
    <xf numFmtId="0" fontId="21" fillId="0" borderId="18" xfId="0" applyFont="1" applyBorder="1" applyAlignment="1"/>
    <xf numFmtId="0" fontId="21" fillId="0" borderId="18" xfId="0" applyFont="1" applyBorder="1" applyAlignment="1">
      <alignment horizontal="left"/>
    </xf>
    <xf numFmtId="0" fontId="0" fillId="0" borderId="18" xfId="0" applyBorder="1"/>
    <xf numFmtId="0" fontId="0" fillId="0" borderId="18" xfId="0" applyFill="1" applyBorder="1" applyAlignment="1">
      <alignment horizontal="left" vertical="top"/>
    </xf>
    <xf numFmtId="0" fontId="0" fillId="0" borderId="19" xfId="0" applyFill="1" applyBorder="1" applyAlignment="1">
      <alignment horizontal="left" vertical="top"/>
    </xf>
    <xf numFmtId="0" fontId="20" fillId="0" borderId="14" xfId="0" applyFont="1" applyBorder="1" applyAlignment="1">
      <alignment vertical="center"/>
    </xf>
    <xf numFmtId="0" fontId="20" fillId="0" borderId="0" xfId="0" applyFont="1" applyBorder="1" applyAlignment="1">
      <alignment vertical="center"/>
    </xf>
    <xf numFmtId="0" fontId="21" fillId="0" borderId="0" xfId="0" applyFont="1" applyBorder="1" applyAlignment="1">
      <alignment horizontal="left"/>
    </xf>
    <xf numFmtId="0" fontId="0" fillId="0" borderId="0" xfId="0" applyBorder="1"/>
    <xf numFmtId="0" fontId="0" fillId="0" borderId="20" xfId="0" applyFill="1" applyBorder="1" applyAlignment="1">
      <alignment horizontal="left" vertical="top"/>
    </xf>
    <xf numFmtId="0" fontId="20" fillId="0" borderId="14" xfId="0" applyFont="1" applyBorder="1" applyAlignment="1">
      <alignment horizontal="left" vertical="center"/>
    </xf>
    <xf numFmtId="0" fontId="20" fillId="0" borderId="0" xfId="0" applyFont="1" applyBorder="1" applyAlignment="1">
      <alignment horizontal="left" vertical="center"/>
    </xf>
    <xf numFmtId="0" fontId="20" fillId="0" borderId="0" xfId="0" applyFont="1" applyAlignment="1">
      <alignment vertical="center"/>
    </xf>
    <xf numFmtId="0" fontId="23" fillId="0" borderId="20" xfId="0" applyFont="1" applyBorder="1" applyAlignment="1">
      <alignment vertical="center" wrapText="1"/>
    </xf>
    <xf numFmtId="0" fontId="21" fillId="0" borderId="22" xfId="0" applyFont="1" applyBorder="1" applyAlignment="1"/>
    <xf numFmtId="0" fontId="21" fillId="0" borderId="22" xfId="0" applyFont="1" applyBorder="1" applyAlignment="1">
      <alignment horizontal="left"/>
    </xf>
    <xf numFmtId="0" fontId="0" fillId="0" borderId="22" xfId="0" applyBorder="1"/>
    <xf numFmtId="0" fontId="0" fillId="0" borderId="22" xfId="0" applyFill="1" applyBorder="1" applyAlignment="1">
      <alignment horizontal="left" vertical="top"/>
    </xf>
    <xf numFmtId="0" fontId="0" fillId="0" borderId="23" xfId="0" applyFill="1" applyBorder="1" applyAlignment="1">
      <alignment horizontal="left" vertical="top"/>
    </xf>
    <xf numFmtId="0" fontId="20" fillId="0" borderId="0" xfId="0" applyFont="1" applyAlignment="1">
      <alignment horizontal="left" vertical="center" wrapText="1"/>
    </xf>
    <xf numFmtId="0" fontId="19" fillId="0" borderId="0" xfId="0" applyFont="1" applyAlignment="1">
      <alignment horizontal="left" vertical="center"/>
    </xf>
    <xf numFmtId="0" fontId="24" fillId="0" borderId="0" xfId="0" applyFont="1" applyAlignment="1">
      <alignment horizontal="left" vertical="center" wrapText="1"/>
    </xf>
    <xf numFmtId="3" fontId="6" fillId="0" borderId="4" xfId="0" applyNumberFormat="1" applyFont="1" applyFill="1" applyBorder="1" applyAlignment="1">
      <alignment horizontal="center" vertical="top" shrinkToFit="1"/>
    </xf>
    <xf numFmtId="164" fontId="7" fillId="0" borderId="4" xfId="0" applyNumberFormat="1" applyFont="1" applyFill="1" applyBorder="1" applyAlignment="1">
      <alignment horizontal="left" vertical="top" wrapText="1"/>
    </xf>
    <xf numFmtId="0" fontId="25" fillId="0" borderId="0" xfId="0" applyFont="1" applyAlignment="1">
      <alignment horizontal="left" vertical="center"/>
    </xf>
    <xf numFmtId="0" fontId="25" fillId="0" borderId="0" xfId="0" applyFont="1" applyAlignment="1">
      <alignment vertical="center"/>
    </xf>
    <xf numFmtId="0" fontId="26" fillId="0" borderId="0" xfId="0" applyFont="1" applyAlignment="1">
      <alignment vertical="center"/>
    </xf>
    <xf numFmtId="0" fontId="26" fillId="0" borderId="0" xfId="0" applyFont="1" applyAlignment="1">
      <alignment horizontal="left" vertical="center"/>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165" fontId="6" fillId="0" borderId="3" xfId="0" applyNumberFormat="1" applyFont="1" applyFill="1" applyBorder="1" applyAlignment="1">
      <alignment horizontal="left" vertical="top" indent="1" shrinkToFit="1"/>
    </xf>
    <xf numFmtId="165" fontId="6" fillId="0" borderId="1" xfId="0" applyNumberFormat="1" applyFont="1" applyFill="1" applyBorder="1" applyAlignment="1">
      <alignment horizontal="left" vertical="top" indent="1" shrinkToFit="1"/>
    </xf>
    <xf numFmtId="164" fontId="7" fillId="0" borderId="3" xfId="0" applyNumberFormat="1" applyFont="1" applyFill="1" applyBorder="1" applyAlignment="1">
      <alignment horizontal="left" vertical="top" wrapText="1"/>
    </xf>
    <xf numFmtId="0" fontId="7" fillId="0" borderId="1" xfId="0" applyFont="1" applyFill="1" applyBorder="1" applyAlignment="1">
      <alignment horizontal="left" vertical="top" wrapText="1"/>
    </xf>
    <xf numFmtId="164" fontId="7" fillId="0" borderId="3" xfId="0" applyNumberFormat="1" applyFont="1" applyFill="1" applyBorder="1" applyAlignment="1">
      <alignment horizontal="center" vertical="top" wrapText="1"/>
    </xf>
    <xf numFmtId="0" fontId="7" fillId="0" borderId="1" xfId="0" applyFont="1" applyFill="1" applyBorder="1" applyAlignment="1">
      <alignment horizontal="center" vertical="top" wrapText="1"/>
    </xf>
    <xf numFmtId="0" fontId="7" fillId="0" borderId="3" xfId="0" applyFont="1" applyFill="1" applyBorder="1" applyAlignment="1">
      <alignment horizontal="left" vertical="top" wrapText="1"/>
    </xf>
    <xf numFmtId="0" fontId="7" fillId="0" borderId="2" xfId="0" applyFont="1" applyFill="1" applyBorder="1" applyAlignment="1">
      <alignment horizontal="left" vertical="top" wrapText="1"/>
    </xf>
    <xf numFmtId="164" fontId="6" fillId="0" borderId="3" xfId="0" applyNumberFormat="1" applyFont="1" applyFill="1" applyBorder="1" applyAlignment="1">
      <alignment horizontal="left" vertical="top" indent="1" shrinkToFit="1"/>
    </xf>
    <xf numFmtId="164" fontId="6" fillId="0" borderId="1" xfId="0" applyNumberFormat="1" applyFont="1" applyFill="1" applyBorder="1" applyAlignment="1">
      <alignment horizontal="left" vertical="top" indent="1" shrinkToFit="1"/>
    </xf>
    <xf numFmtId="0" fontId="10" fillId="0" borderId="0" xfId="0" applyFont="1" applyFill="1" applyBorder="1" applyAlignment="1">
      <alignment horizontal="center" vertical="top" wrapText="1"/>
    </xf>
    <xf numFmtId="0" fontId="4" fillId="0" borderId="0" xfId="0" applyFont="1" applyFill="1" applyBorder="1" applyAlignment="1">
      <alignment horizontal="center" vertical="top" wrapText="1"/>
    </xf>
    <xf numFmtId="0" fontId="0" fillId="0" borderId="0" xfId="0" applyFill="1" applyBorder="1" applyAlignment="1">
      <alignment horizontal="left" vertical="top" wrapText="1" indent="1"/>
    </xf>
    <xf numFmtId="0" fontId="5" fillId="0" borderId="3"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3" xfId="0" applyFont="1" applyFill="1" applyBorder="1" applyAlignment="1">
      <alignment horizontal="center" vertical="top" wrapText="1"/>
    </xf>
    <xf numFmtId="0" fontId="5" fillId="0" borderId="1" xfId="0" applyFont="1" applyFill="1" applyBorder="1" applyAlignment="1">
      <alignment horizontal="center" vertical="top" wrapText="1"/>
    </xf>
    <xf numFmtId="0" fontId="1" fillId="0" borderId="24"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1" fontId="3" fillId="0" borderId="3" xfId="0" applyNumberFormat="1" applyFont="1" applyFill="1" applyBorder="1" applyAlignment="1">
      <alignment horizontal="left" vertical="top" shrinkToFit="1"/>
    </xf>
    <xf numFmtId="1" fontId="3" fillId="0" borderId="2" xfId="0" applyNumberFormat="1" applyFont="1" applyFill="1" applyBorder="1" applyAlignment="1">
      <alignment horizontal="left" vertical="top" shrinkToFi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0" xfId="0" applyFont="1" applyAlignment="1">
      <alignment horizontal="left" vertical="center" wrapText="1"/>
    </xf>
    <xf numFmtId="0" fontId="19" fillId="0" borderId="11" xfId="0" applyFont="1" applyBorder="1" applyAlignment="1">
      <alignment horizontal="center" vertical="center"/>
    </xf>
    <xf numFmtId="0" fontId="19" fillId="0" borderId="13" xfId="0" applyFont="1" applyBorder="1" applyAlignment="1">
      <alignment horizontal="center" vertical="center"/>
    </xf>
    <xf numFmtId="0" fontId="0" fillId="0" borderId="0" xfId="0" applyFill="1" applyBorder="1" applyAlignment="1">
      <alignment horizontal="center" vertical="top"/>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0" fillId="0" borderId="24" xfId="0" applyFill="1" applyBorder="1" applyAlignment="1">
      <alignment horizontal="left" vertical="top" wrapText="1"/>
    </xf>
    <xf numFmtId="0" fontId="19" fillId="0" borderId="25" xfId="0" applyFont="1" applyBorder="1" applyAlignment="1">
      <alignment horizontal="left" vertical="center" wrapText="1"/>
    </xf>
    <xf numFmtId="0" fontId="14" fillId="0" borderId="11" xfId="0" applyFont="1" applyBorder="1" applyAlignment="1">
      <alignment horizontal="center"/>
    </xf>
    <xf numFmtId="0" fontId="15" fillId="0" borderId="12" xfId="0" applyFont="1" applyBorder="1" applyAlignment="1">
      <alignment horizontal="center"/>
    </xf>
    <xf numFmtId="0" fontId="15" fillId="0" borderId="13" xfId="0" applyFont="1" applyBorder="1" applyAlignment="1">
      <alignment horizont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20" fillId="0" borderId="14" xfId="0" applyFont="1" applyBorder="1" applyAlignment="1">
      <alignment horizontal="center"/>
    </xf>
    <xf numFmtId="0" fontId="20" fillId="0" borderId="0" xfId="0" applyFont="1" applyBorder="1" applyAlignment="1">
      <alignment horizontal="center"/>
    </xf>
    <xf numFmtId="0" fontId="20" fillId="0" borderId="15" xfId="0" applyFont="1" applyBorder="1" applyAlignment="1">
      <alignment horizontal="center"/>
    </xf>
    <xf numFmtId="0" fontId="23" fillId="0" borderId="14" xfId="0" applyFont="1" applyBorder="1" applyAlignment="1">
      <alignment horizontal="left" vertical="center" wrapText="1"/>
    </xf>
    <xf numFmtId="0" fontId="23" fillId="0" borderId="0" xfId="0" applyFont="1" applyBorder="1" applyAlignment="1">
      <alignment horizontal="left" vertical="center" wrapText="1"/>
    </xf>
    <xf numFmtId="0" fontId="20" fillId="0" borderId="21" xfId="0" applyFont="1" applyBorder="1" applyAlignment="1">
      <alignment horizontal="center" vertical="center"/>
    </xf>
    <xf numFmtId="0" fontId="20" fillId="0" borderId="22" xfId="0" applyFont="1" applyBorder="1" applyAlignment="1">
      <alignment horizontal="center" vertical="center"/>
    </xf>
    <xf numFmtId="0" fontId="5" fillId="0" borderId="6" xfId="0" applyFont="1" applyFill="1" applyBorder="1" applyAlignment="1">
      <alignment horizontal="left" vertical="top" wrapText="1" indent="30"/>
    </xf>
    <xf numFmtId="0" fontId="5" fillId="0" borderId="5" xfId="0" applyFont="1" applyFill="1" applyBorder="1" applyAlignment="1">
      <alignment horizontal="left" vertical="top" wrapText="1" indent="30"/>
    </xf>
    <xf numFmtId="0" fontId="8" fillId="0" borderId="0" xfId="0" applyFont="1" applyFill="1" applyBorder="1" applyAlignment="1">
      <alignment horizontal="left" vertical="top" wrapText="1" indent="1"/>
    </xf>
    <xf numFmtId="0" fontId="5" fillId="0" borderId="6" xfId="0" applyFont="1" applyFill="1" applyBorder="1" applyAlignment="1">
      <alignment horizontal="left" vertical="top" wrapText="1" indent="31"/>
    </xf>
    <xf numFmtId="0" fontId="5" fillId="0" borderId="5" xfId="0" applyFont="1" applyFill="1" applyBorder="1" applyAlignment="1">
      <alignment horizontal="left" vertical="top" wrapText="1" indent="31"/>
    </xf>
    <xf numFmtId="0" fontId="5" fillId="0" borderId="6" xfId="0" applyFont="1" applyFill="1" applyBorder="1" applyAlignment="1">
      <alignment horizontal="left" vertical="top" wrapText="1" indent="32"/>
    </xf>
    <xf numFmtId="0" fontId="5" fillId="0" borderId="5" xfId="0" applyFont="1" applyFill="1" applyBorder="1" applyAlignment="1">
      <alignment horizontal="left" vertical="top" wrapText="1" indent="32"/>
    </xf>
    <xf numFmtId="0" fontId="1" fillId="0" borderId="3"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1" xfId="0" applyFont="1" applyFill="1" applyBorder="1" applyAlignment="1">
      <alignment horizontal="center" vertical="top" wrapText="1"/>
    </xf>
    <xf numFmtId="0" fontId="1" fillId="0" borderId="27" xfId="0" applyFont="1" applyFill="1" applyBorder="1" applyAlignment="1">
      <alignment horizontal="center" vertical="top" wrapText="1"/>
    </xf>
    <xf numFmtId="0" fontId="1" fillId="0" borderId="28" xfId="0" applyFont="1" applyFill="1" applyBorder="1" applyAlignment="1">
      <alignment horizontal="center" vertical="top" wrapText="1"/>
    </xf>
    <xf numFmtId="0" fontId="1" fillId="0" borderId="29" xfId="0" applyFont="1" applyFill="1" applyBorder="1" applyAlignment="1">
      <alignment horizontal="center" vertical="top" wrapText="1"/>
    </xf>
    <xf numFmtId="0" fontId="5" fillId="0" borderId="3" xfId="0" applyFont="1" applyFill="1" applyBorder="1" applyAlignment="1">
      <alignment horizontal="left" vertical="top" wrapText="1" indent="1"/>
    </xf>
    <xf numFmtId="0" fontId="5" fillId="0" borderId="1" xfId="0" applyFont="1" applyFill="1" applyBorder="1" applyAlignment="1">
      <alignment horizontal="left" vertical="top" wrapText="1" indent="1"/>
    </xf>
    <xf numFmtId="0" fontId="5" fillId="0" borderId="3" xfId="0" applyFont="1" applyFill="1" applyBorder="1" applyAlignment="1">
      <alignment horizontal="left" vertical="top" wrapText="1" indent="2"/>
    </xf>
    <xf numFmtId="0" fontId="5" fillId="0" borderId="2" xfId="0" applyFont="1" applyFill="1" applyBorder="1" applyAlignment="1">
      <alignment horizontal="left" vertical="top" wrapText="1" indent="2"/>
    </xf>
    <xf numFmtId="0" fontId="5" fillId="0" borderId="1" xfId="0" applyFont="1" applyFill="1" applyBorder="1" applyAlignment="1">
      <alignment horizontal="left" vertical="top" wrapText="1" indent="2"/>
    </xf>
    <xf numFmtId="0" fontId="0" fillId="0" borderId="3" xfId="0" applyFill="1" applyBorder="1" applyAlignment="1">
      <alignment horizontal="center" vertical="top" wrapText="1"/>
    </xf>
    <xf numFmtId="0" fontId="0" fillId="0" borderId="1" xfId="0" applyFill="1" applyBorder="1" applyAlignment="1">
      <alignment horizontal="center" vertical="top" wrapText="1"/>
    </xf>
    <xf numFmtId="0" fontId="5" fillId="0" borderId="2" xfId="0" applyFont="1" applyFill="1" applyBorder="1" applyAlignment="1">
      <alignment horizontal="center" vertical="top" wrapText="1"/>
    </xf>
    <xf numFmtId="164" fontId="6" fillId="0" borderId="2" xfId="0" applyNumberFormat="1" applyFont="1" applyFill="1" applyBorder="1" applyAlignment="1">
      <alignment horizontal="left" vertical="top" indent="1" shrinkToFit="1"/>
    </xf>
    <xf numFmtId="164" fontId="6" fillId="0" borderId="3" xfId="0" applyNumberFormat="1" applyFont="1" applyFill="1" applyBorder="1" applyAlignment="1">
      <alignment horizontal="left" vertical="top" shrinkToFit="1"/>
    </xf>
    <xf numFmtId="164" fontId="6" fillId="0" borderId="1" xfId="0" applyNumberFormat="1" applyFont="1" applyFill="1" applyBorder="1" applyAlignment="1">
      <alignment horizontal="left" vertical="top" shrinkToFit="1"/>
    </xf>
    <xf numFmtId="0" fontId="7" fillId="0" borderId="3" xfId="0" applyFont="1" applyFill="1" applyBorder="1" applyAlignment="1">
      <alignment horizontal="left" vertical="top" wrapText="1" indent="8"/>
    </xf>
    <xf numFmtId="0" fontId="7" fillId="0" borderId="2" xfId="0" applyFont="1" applyFill="1" applyBorder="1" applyAlignment="1">
      <alignment horizontal="left" vertical="top" wrapText="1" indent="8"/>
    </xf>
    <xf numFmtId="0" fontId="7" fillId="0" borderId="1" xfId="0" applyFont="1" applyFill="1" applyBorder="1" applyAlignment="1">
      <alignment horizontal="left" vertical="top" wrapText="1" indent="8"/>
    </xf>
    <xf numFmtId="0" fontId="7" fillId="0" borderId="3" xfId="0" applyFont="1" applyFill="1" applyBorder="1" applyAlignment="1">
      <alignment horizontal="center" vertical="top" wrapText="1"/>
    </xf>
    <xf numFmtId="164" fontId="6" fillId="0" borderId="3" xfId="0" applyNumberFormat="1" applyFont="1" applyFill="1" applyBorder="1" applyAlignment="1">
      <alignment horizontal="center" vertical="top" shrinkToFit="1"/>
    </xf>
    <xf numFmtId="164" fontId="6" fillId="0" borderId="2" xfId="0" applyNumberFormat="1" applyFont="1" applyFill="1" applyBorder="1" applyAlignment="1">
      <alignment horizontal="center" vertical="top" shrinkToFit="1"/>
    </xf>
    <xf numFmtId="164" fontId="6" fillId="0" borderId="1" xfId="0" applyNumberFormat="1" applyFont="1" applyFill="1" applyBorder="1" applyAlignment="1">
      <alignment horizontal="center" vertical="top" shrinkToFit="1"/>
    </xf>
    <xf numFmtId="0" fontId="5" fillId="0" borderId="6" xfId="0" applyFont="1" applyFill="1" applyBorder="1" applyAlignment="1">
      <alignment horizontal="left" vertical="top" wrapText="1" indent="24"/>
    </xf>
    <xf numFmtId="0" fontId="5" fillId="0" borderId="5" xfId="0" applyFont="1" applyFill="1" applyBorder="1" applyAlignment="1">
      <alignment horizontal="left" vertical="top" wrapText="1" indent="24"/>
    </xf>
    <xf numFmtId="0" fontId="7" fillId="0" borderId="3" xfId="0" applyFont="1" applyFill="1" applyBorder="1" applyAlignment="1">
      <alignment horizontal="left" vertical="top" wrapText="1" indent="14"/>
    </xf>
    <xf numFmtId="0" fontId="7" fillId="0" borderId="2" xfId="0" applyFont="1" applyFill="1" applyBorder="1" applyAlignment="1">
      <alignment horizontal="left" vertical="top" wrapText="1" indent="14"/>
    </xf>
    <xf numFmtId="0" fontId="7" fillId="0" borderId="1" xfId="0" applyFont="1" applyFill="1" applyBorder="1" applyAlignment="1">
      <alignment horizontal="left" vertical="top" wrapText="1" indent="14"/>
    </xf>
    <xf numFmtId="0" fontId="0" fillId="0" borderId="7"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1" fillId="0" borderId="24" xfId="0" applyFont="1" applyFill="1" applyBorder="1" applyAlignment="1">
      <alignment horizontal="center" vertical="top" wrapText="1"/>
    </xf>
    <xf numFmtId="0" fontId="1" fillId="0" borderId="3"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1" xfId="0" applyFont="1" applyFill="1" applyBorder="1" applyAlignment="1">
      <alignment horizontal="left" vertical="top" wrapText="1"/>
    </xf>
    <xf numFmtId="1" fontId="3" fillId="0" borderId="1" xfId="0" applyNumberFormat="1" applyFont="1" applyFill="1" applyBorder="1" applyAlignment="1">
      <alignment horizontal="left" vertical="top" shrinkToFit="1"/>
    </xf>
    <xf numFmtId="166" fontId="3" fillId="0" borderId="3" xfId="0" applyNumberFormat="1" applyFont="1" applyFill="1" applyBorder="1" applyAlignment="1">
      <alignment horizontal="left" vertical="top" shrinkToFit="1"/>
    </xf>
    <xf numFmtId="166" fontId="3" fillId="0" borderId="1" xfId="0" applyNumberFormat="1" applyFont="1" applyFill="1" applyBorder="1" applyAlignment="1">
      <alignment horizontal="left" vertical="top" shrinkToFit="1"/>
    </xf>
    <xf numFmtId="0" fontId="0" fillId="0" borderId="2" xfId="0" applyFill="1" applyBorder="1" applyAlignment="1">
      <alignment horizontal="left" vertical="top" wrapText="1"/>
    </xf>
    <xf numFmtId="166" fontId="3" fillId="0" borderId="7" xfId="0" applyNumberFormat="1" applyFont="1" applyFill="1" applyBorder="1" applyAlignment="1">
      <alignment horizontal="left" vertical="top" shrinkToFit="1"/>
    </xf>
    <xf numFmtId="166" fontId="3" fillId="0" borderId="5" xfId="0" applyNumberFormat="1" applyFont="1" applyFill="1" applyBorder="1" applyAlignment="1">
      <alignment horizontal="left" vertical="top" shrinkToFit="1"/>
    </xf>
    <xf numFmtId="0" fontId="1" fillId="0" borderId="7"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3" xfId="0" applyFill="1" applyBorder="1" applyAlignment="1">
      <alignment horizontal="left" wrapText="1"/>
    </xf>
    <xf numFmtId="0" fontId="0" fillId="0" borderId="2" xfId="0" applyFill="1" applyBorder="1" applyAlignment="1">
      <alignment horizontal="left" wrapText="1"/>
    </xf>
    <xf numFmtId="0" fontId="0" fillId="0" borderId="1" xfId="0" applyFill="1" applyBorder="1" applyAlignment="1">
      <alignment horizontal="left" wrapText="1"/>
    </xf>
    <xf numFmtId="0" fontId="20" fillId="0" borderId="14" xfId="0" applyFont="1" applyBorder="1" applyAlignment="1">
      <alignment horizontal="left"/>
    </xf>
    <xf numFmtId="0" fontId="20" fillId="0" borderId="0" xfId="0" applyFont="1" applyBorder="1" applyAlignment="1">
      <alignment horizontal="left"/>
    </xf>
    <xf numFmtId="0" fontId="20" fillId="0" borderId="15" xfId="0" applyFont="1" applyBorder="1" applyAlignment="1">
      <alignment horizontal="left"/>
    </xf>
    <xf numFmtId="0" fontId="20" fillId="0" borderId="16" xfId="0" applyFont="1" applyFill="1" applyBorder="1" applyAlignment="1">
      <alignment horizontal="left"/>
    </xf>
    <xf numFmtId="0" fontId="20" fillId="0" borderId="14" xfId="0" applyFont="1" applyBorder="1" applyAlignment="1">
      <alignment horizontal="left" vertical="center" wrapText="1"/>
    </xf>
    <xf numFmtId="0" fontId="20" fillId="0" borderId="0" xfId="0" applyFont="1" applyBorder="1" applyAlignment="1">
      <alignment horizontal="left" vertical="center" wrapText="1"/>
    </xf>
    <xf numFmtId="0" fontId="20" fillId="0" borderId="21" xfId="0" applyFont="1" applyBorder="1" applyAlignment="1">
      <alignment horizontal="left" vertical="center"/>
    </xf>
    <xf numFmtId="0" fontId="20" fillId="0" borderId="22" xfId="0" applyFont="1" applyBorder="1" applyAlignment="1">
      <alignment horizontal="left" vertical="center"/>
    </xf>
    <xf numFmtId="0" fontId="28" fillId="0" borderId="24" xfId="0" applyFont="1" applyFill="1" applyBorder="1" applyAlignment="1">
      <alignment horizontal="left" vertical="top" wrapText="1"/>
    </xf>
    <xf numFmtId="0" fontId="19" fillId="0" borderId="0" xfId="0" applyFont="1" applyBorder="1" applyAlignment="1">
      <alignment horizontal="left" vertical="center" wrapText="1"/>
    </xf>
    <xf numFmtId="0" fontId="2" fillId="0" borderId="24" xfId="0" applyFont="1" applyFill="1" applyBorder="1" applyAlignment="1">
      <alignment horizontal="left" vertical="top" wrapText="1"/>
    </xf>
    <xf numFmtId="1" fontId="3" fillId="0" borderId="24" xfId="0" applyNumberFormat="1" applyFont="1" applyFill="1" applyBorder="1" applyAlignment="1">
      <alignment horizontal="left" vertical="top" shrinkToFit="1"/>
    </xf>
    <xf numFmtId="0" fontId="11" fillId="0" borderId="0" xfId="0" applyFont="1" applyFill="1" applyBorder="1" applyAlignment="1">
      <alignment horizontal="left" vertical="top" wrapText="1" indent="1"/>
    </xf>
    <xf numFmtId="164" fontId="0" fillId="0" borderId="0" xfId="0" applyNumberFormat="1" applyFill="1" applyBorder="1" applyAlignment="1">
      <alignment horizontal="left" vertical="top"/>
    </xf>
    <xf numFmtId="165" fontId="6" fillId="0" borderId="3" xfId="0" applyNumberFormat="1" applyFont="1" applyFill="1" applyBorder="1" applyAlignment="1">
      <alignment horizontal="center" vertical="top" shrinkToFit="1"/>
    </xf>
    <xf numFmtId="165" fontId="6" fillId="0" borderId="1" xfId="0" applyNumberFormat="1" applyFont="1" applyFill="1" applyBorder="1" applyAlignment="1">
      <alignment horizontal="center" vertical="top" shrinkToFit="1"/>
    </xf>
    <xf numFmtId="0" fontId="7" fillId="0" borderId="3" xfId="0" applyFont="1" applyFill="1" applyBorder="1" applyAlignment="1">
      <alignment horizontal="left" vertical="top" wrapText="1" indent="1"/>
    </xf>
    <xf numFmtId="0" fontId="0" fillId="0" borderId="24" xfId="0" applyFill="1" applyBorder="1" applyAlignment="1">
      <alignment horizontal="center" vertical="top" wrapText="1"/>
    </xf>
    <xf numFmtId="164" fontId="6" fillId="0" borderId="24" xfId="0" applyNumberFormat="1" applyFont="1" applyFill="1" applyBorder="1" applyAlignment="1">
      <alignment horizontal="center" vertical="top" shrinkToFit="1"/>
    </xf>
    <xf numFmtId="0" fontId="7" fillId="0" borderId="10" xfId="0" applyFont="1" applyFill="1" applyBorder="1" applyAlignment="1">
      <alignment horizontal="left" vertical="top" wrapText="1"/>
    </xf>
    <xf numFmtId="0" fontId="7" fillId="0" borderId="9" xfId="0" applyFont="1" applyFill="1" applyBorder="1" applyAlignment="1">
      <alignment horizontal="left" vertical="top" wrapText="1"/>
    </xf>
    <xf numFmtId="0" fontId="11" fillId="0" borderId="0" xfId="0" applyFont="1" applyFill="1" applyBorder="1" applyAlignment="1">
      <alignment horizontal="left" vertical="top"/>
    </xf>
    <xf numFmtId="0" fontId="11" fillId="0" borderId="0" xfId="0" applyFont="1" applyFill="1" applyBorder="1" applyAlignment="1">
      <alignment vertical="top"/>
    </xf>
    <xf numFmtId="0" fontId="7" fillId="0" borderId="7"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30" fillId="0" borderId="0" xfId="0" applyFont="1" applyFill="1" applyBorder="1" applyAlignment="1">
      <alignment horizontal="left" vertical="top"/>
    </xf>
    <xf numFmtId="0" fontId="13" fillId="0" borderId="30" xfId="0" applyFont="1" applyFill="1" applyBorder="1" applyAlignment="1">
      <alignment horizontal="left" vertical="top" wrapText="1"/>
    </xf>
    <xf numFmtId="0" fontId="1" fillId="0" borderId="18" xfId="0" applyFont="1" applyFill="1" applyBorder="1" applyAlignment="1">
      <alignment horizontal="left" vertical="top" wrapText="1"/>
    </xf>
    <xf numFmtId="0" fontId="32" fillId="0" borderId="0" xfId="0" applyFont="1" applyAlignment="1">
      <alignment horizontal="left" vertical="center"/>
    </xf>
    <xf numFmtId="0" fontId="19" fillId="0" borderId="0" xfId="0" applyFont="1" applyAlignment="1">
      <alignment horizontal="center" vertical="center"/>
    </xf>
    <xf numFmtId="0" fontId="32" fillId="0" borderId="0" xfId="0" applyFont="1" applyAlignment="1">
      <alignment vertical="center"/>
    </xf>
    <xf numFmtId="0" fontId="19" fillId="0" borderId="0" xfId="0" applyFont="1"/>
    <xf numFmtId="0" fontId="35" fillId="0" borderId="0" xfId="0" applyFont="1" applyAlignment="1">
      <alignment vertical="center"/>
    </xf>
    <xf numFmtId="0" fontId="36" fillId="0" borderId="24" xfId="0" applyFont="1" applyFill="1" applyBorder="1" applyAlignment="1">
      <alignment horizontal="left" vertical="top" wrapText="1"/>
    </xf>
    <xf numFmtId="0" fontId="7" fillId="0" borderId="8" xfId="0" applyFont="1" applyFill="1" applyBorder="1" applyAlignment="1">
      <alignment horizontal="left" vertical="top" wrapText="1"/>
    </xf>
    <xf numFmtId="164" fontId="6" fillId="0" borderId="11" xfId="0" applyNumberFormat="1" applyFont="1" applyFill="1" applyBorder="1" applyAlignment="1">
      <alignment horizontal="center" vertical="top" shrinkToFit="1"/>
    </xf>
    <xf numFmtId="164" fontId="6" fillId="0" borderId="13" xfId="0" applyNumberFormat="1" applyFont="1" applyFill="1" applyBorder="1" applyAlignment="1">
      <alignment horizontal="center" vertical="top" shrinkToFit="1"/>
    </xf>
    <xf numFmtId="0" fontId="0" fillId="0" borderId="11" xfId="0" applyFill="1" applyBorder="1" applyAlignment="1">
      <alignment horizontal="center" vertical="top" wrapText="1"/>
    </xf>
    <xf numFmtId="0" fontId="0" fillId="0" borderId="31" xfId="0" applyFill="1" applyBorder="1" applyAlignment="1">
      <alignment horizontal="center" vertical="top" wrapText="1"/>
    </xf>
    <xf numFmtId="0" fontId="37" fillId="0" borderId="26" xfId="0" applyFont="1" applyFill="1" applyBorder="1" applyAlignment="1">
      <alignment horizontal="left" vertical="top" wrapText="1"/>
    </xf>
    <xf numFmtId="0" fontId="37" fillId="0" borderId="1" xfId="0" applyFont="1" applyFill="1" applyBorder="1" applyAlignment="1">
      <alignment horizontal="left" vertical="top" wrapText="1"/>
    </xf>
    <xf numFmtId="0" fontId="37" fillId="0" borderId="7" xfId="0" applyFont="1" applyFill="1" applyBorder="1" applyAlignment="1">
      <alignment horizontal="left" vertical="top" wrapText="1"/>
    </xf>
    <xf numFmtId="0" fontId="37" fillId="0" borderId="24" xfId="0" applyFont="1" applyFill="1" applyBorder="1" applyAlignment="1">
      <alignment horizontal="center" vertical="top" wrapText="1"/>
    </xf>
    <xf numFmtId="0" fontId="30" fillId="0" borderId="0" xfId="0" applyFont="1" applyFill="1" applyBorder="1" applyAlignment="1">
      <alignment horizontal="left" vertical="top" wrapText="1"/>
    </xf>
    <xf numFmtId="0" fontId="9" fillId="0" borderId="3" xfId="0" applyFont="1" applyFill="1" applyBorder="1" applyAlignment="1">
      <alignment horizontal="left" vertical="top" wrapText="1"/>
    </xf>
    <xf numFmtId="0" fontId="27" fillId="0" borderId="24" xfId="1" applyFill="1" applyBorder="1" applyAlignment="1">
      <alignment horizontal="left" vertical="top" wrapText="1"/>
    </xf>
    <xf numFmtId="0" fontId="30" fillId="0" borderId="0" xfId="0" applyFont="1" applyFill="1" applyBorder="1" applyAlignment="1">
      <alignment horizontal="left" vertical="top" wrapText="1"/>
    </xf>
    <xf numFmtId="0" fontId="30" fillId="0" borderId="0" xfId="0" applyFont="1" applyFill="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 Id="rId9" Type="http://schemas.openxmlformats.org/officeDocument/2006/relationships/image" Target="../media/image1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oneCellAnchor>
    <xdr:from>
      <xdr:col>3</xdr:col>
      <xdr:colOff>67309</xdr:colOff>
      <xdr:row>33</xdr:row>
      <xdr:rowOff>194462</xdr:rowOff>
    </xdr:from>
    <xdr:ext cx="528637" cy="325755"/>
    <xdr:pic>
      <xdr:nvPicPr>
        <xdr:cNvPr id="14" name="image1.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4709" y="9528962"/>
          <a:ext cx="528637" cy="325755"/>
        </a:xfrm>
        <a:prstGeom prst="rect">
          <a:avLst/>
        </a:prstGeom>
      </xdr:spPr>
    </xdr:pic>
    <xdr:clientData/>
  </xdr:oneCellAnchor>
  <xdr:oneCellAnchor>
    <xdr:from>
      <xdr:col>3</xdr:col>
      <xdr:colOff>191897</xdr:colOff>
      <xdr:row>35</xdr:row>
      <xdr:rowOff>60159</xdr:rowOff>
    </xdr:from>
    <xdr:ext cx="424053" cy="571499"/>
    <xdr:pic>
      <xdr:nvPicPr>
        <xdr:cNvPr id="15"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9297" y="10324299"/>
          <a:ext cx="424053" cy="571499"/>
        </a:xfrm>
        <a:prstGeom prst="rect">
          <a:avLst/>
        </a:prstGeom>
      </xdr:spPr>
    </xdr:pic>
    <xdr:clientData/>
  </xdr:oneCellAnchor>
  <xdr:oneCellAnchor>
    <xdr:from>
      <xdr:col>3</xdr:col>
      <xdr:colOff>90169</xdr:colOff>
      <xdr:row>37</xdr:row>
      <xdr:rowOff>265899</xdr:rowOff>
    </xdr:from>
    <xdr:ext cx="480060" cy="182880"/>
    <xdr:pic>
      <xdr:nvPicPr>
        <xdr:cNvPr id="16"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47569" y="11459679"/>
          <a:ext cx="480060" cy="182880"/>
        </a:xfrm>
        <a:prstGeom prst="rect">
          <a:avLst/>
        </a:prstGeom>
      </xdr:spPr>
    </xdr:pic>
    <xdr:clientData/>
  </xdr:oneCellAnchor>
  <xdr:oneCellAnchor>
    <xdr:from>
      <xdr:col>3</xdr:col>
      <xdr:colOff>67309</xdr:colOff>
      <xdr:row>39</xdr:row>
      <xdr:rowOff>265899</xdr:rowOff>
    </xdr:from>
    <xdr:ext cx="525780" cy="137159"/>
    <xdr:pic>
      <xdr:nvPicPr>
        <xdr:cNvPr id="17"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24709" y="12389319"/>
          <a:ext cx="525780" cy="137159"/>
        </a:xfrm>
        <a:prstGeom prst="rect">
          <a:avLst/>
        </a:prstGeom>
      </xdr:spPr>
    </xdr:pic>
    <xdr:clientData/>
  </xdr:oneCellAnchor>
  <xdr:oneCellAnchor>
    <xdr:from>
      <xdr:col>13</xdr:col>
      <xdr:colOff>2297429</xdr:colOff>
      <xdr:row>23</xdr:row>
      <xdr:rowOff>0</xdr:rowOff>
    </xdr:from>
    <xdr:ext cx="25400" cy="233679"/>
    <xdr:sp macro="" textlink="">
      <xdr:nvSpPr>
        <xdr:cNvPr id="18" name="Shape 3"/>
        <xdr:cNvSpPr/>
      </xdr:nvSpPr>
      <xdr:spPr>
        <a:xfrm>
          <a:off x="8530589" y="0"/>
          <a:ext cx="25400" cy="233679"/>
        </a:xfrm>
        <a:custGeom>
          <a:avLst/>
          <a:gdLst/>
          <a:ahLst/>
          <a:cxnLst/>
          <a:rect l="0" t="0" r="0" b="0"/>
          <a:pathLst>
            <a:path w="25400" h="233679">
              <a:moveTo>
                <a:pt x="0" y="208279"/>
              </a:moveTo>
              <a:lnTo>
                <a:pt x="0" y="25400"/>
              </a:lnTo>
              <a:lnTo>
                <a:pt x="25400" y="0"/>
              </a:lnTo>
              <a:lnTo>
                <a:pt x="25400" y="233679"/>
              </a:lnTo>
              <a:lnTo>
                <a:pt x="0" y="208279"/>
              </a:lnTo>
              <a:close/>
            </a:path>
          </a:pathLst>
        </a:custGeom>
        <a:solidFill>
          <a:srgbClr val="000000"/>
        </a:solidFill>
      </xdr:spPr>
    </xdr:sp>
    <xdr:clientData/>
  </xdr:oneCellAnchor>
  <xdr:oneCellAnchor>
    <xdr:from>
      <xdr:col>13</xdr:col>
      <xdr:colOff>2301367</xdr:colOff>
      <xdr:row>23</xdr:row>
      <xdr:rowOff>208292</xdr:rowOff>
    </xdr:from>
    <xdr:ext cx="25400" cy="1262380"/>
    <xdr:sp macro="" textlink="">
      <xdr:nvSpPr>
        <xdr:cNvPr id="19" name="Shape 11"/>
        <xdr:cNvSpPr/>
      </xdr:nvSpPr>
      <xdr:spPr>
        <a:xfrm>
          <a:off x="8534527" y="208292"/>
          <a:ext cx="25400" cy="1262380"/>
        </a:xfrm>
        <a:custGeom>
          <a:avLst/>
          <a:gdLst/>
          <a:ahLst/>
          <a:cxnLst/>
          <a:rect l="0" t="0" r="0" b="0"/>
          <a:pathLst>
            <a:path w="25400" h="1262380">
              <a:moveTo>
                <a:pt x="25400" y="1041400"/>
              </a:moveTo>
              <a:lnTo>
                <a:pt x="12700" y="1041400"/>
              </a:lnTo>
              <a:lnTo>
                <a:pt x="0" y="1054100"/>
              </a:lnTo>
              <a:lnTo>
                <a:pt x="0" y="1236980"/>
              </a:lnTo>
              <a:lnTo>
                <a:pt x="25400" y="1262380"/>
              </a:lnTo>
              <a:lnTo>
                <a:pt x="25400" y="1041400"/>
              </a:lnTo>
              <a:close/>
            </a:path>
            <a:path w="25400" h="1262380">
              <a:moveTo>
                <a:pt x="25400" y="624840"/>
              </a:moveTo>
              <a:lnTo>
                <a:pt x="12700" y="624840"/>
              </a:lnTo>
              <a:lnTo>
                <a:pt x="0" y="637540"/>
              </a:lnTo>
              <a:lnTo>
                <a:pt x="0" y="820420"/>
              </a:lnTo>
              <a:lnTo>
                <a:pt x="12687" y="833120"/>
              </a:lnTo>
              <a:lnTo>
                <a:pt x="0" y="845807"/>
              </a:lnTo>
              <a:lnTo>
                <a:pt x="0" y="1028687"/>
              </a:lnTo>
              <a:lnTo>
                <a:pt x="12700" y="1041387"/>
              </a:lnTo>
              <a:lnTo>
                <a:pt x="25400" y="1041387"/>
              </a:lnTo>
              <a:lnTo>
                <a:pt x="25400" y="833120"/>
              </a:lnTo>
              <a:lnTo>
                <a:pt x="25400" y="624840"/>
              </a:lnTo>
              <a:close/>
            </a:path>
            <a:path w="25400" h="1262380">
              <a:moveTo>
                <a:pt x="25400" y="0"/>
              </a:moveTo>
              <a:lnTo>
                <a:pt x="12700" y="0"/>
              </a:lnTo>
              <a:lnTo>
                <a:pt x="0" y="12700"/>
              </a:lnTo>
              <a:lnTo>
                <a:pt x="0" y="195580"/>
              </a:lnTo>
              <a:lnTo>
                <a:pt x="12687" y="208280"/>
              </a:lnTo>
              <a:lnTo>
                <a:pt x="0" y="220967"/>
              </a:lnTo>
              <a:lnTo>
                <a:pt x="0" y="403847"/>
              </a:lnTo>
              <a:lnTo>
                <a:pt x="12700" y="416547"/>
              </a:lnTo>
              <a:lnTo>
                <a:pt x="0" y="429247"/>
              </a:lnTo>
              <a:lnTo>
                <a:pt x="0" y="612127"/>
              </a:lnTo>
              <a:lnTo>
                <a:pt x="12700" y="624827"/>
              </a:lnTo>
              <a:lnTo>
                <a:pt x="25400" y="624827"/>
              </a:lnTo>
              <a:lnTo>
                <a:pt x="25400" y="416547"/>
              </a:lnTo>
              <a:lnTo>
                <a:pt x="25400" y="208280"/>
              </a:lnTo>
              <a:lnTo>
                <a:pt x="25400" y="0"/>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67309</xdr:colOff>
      <xdr:row>33</xdr:row>
      <xdr:rowOff>194462</xdr:rowOff>
    </xdr:from>
    <xdr:ext cx="528637" cy="325755"/>
    <xdr:pic>
      <xdr:nvPicPr>
        <xdr:cNvPr id="2" name="image1.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4709" y="9208922"/>
          <a:ext cx="528637" cy="325755"/>
        </a:xfrm>
        <a:prstGeom prst="rect">
          <a:avLst/>
        </a:prstGeom>
      </xdr:spPr>
    </xdr:pic>
    <xdr:clientData/>
  </xdr:oneCellAnchor>
  <xdr:oneCellAnchor>
    <xdr:from>
      <xdr:col>3</xdr:col>
      <xdr:colOff>191897</xdr:colOff>
      <xdr:row>35</xdr:row>
      <xdr:rowOff>60159</xdr:rowOff>
    </xdr:from>
    <xdr:ext cx="424053" cy="571499"/>
    <xdr:pic>
      <xdr:nvPicPr>
        <xdr:cNvPr id="3"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9297" y="9897579"/>
          <a:ext cx="424053" cy="571499"/>
        </a:xfrm>
        <a:prstGeom prst="rect">
          <a:avLst/>
        </a:prstGeom>
      </xdr:spPr>
    </xdr:pic>
    <xdr:clientData/>
  </xdr:oneCellAnchor>
  <xdr:oneCellAnchor>
    <xdr:from>
      <xdr:col>3</xdr:col>
      <xdr:colOff>151129</xdr:colOff>
      <xdr:row>37</xdr:row>
      <xdr:rowOff>166839</xdr:rowOff>
    </xdr:from>
    <xdr:ext cx="480060" cy="182880"/>
    <xdr:pic>
      <xdr:nvPicPr>
        <xdr:cNvPr id="4"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08529" y="10888179"/>
          <a:ext cx="480060" cy="182880"/>
        </a:xfrm>
        <a:prstGeom prst="rect">
          <a:avLst/>
        </a:prstGeom>
      </xdr:spPr>
    </xdr:pic>
    <xdr:clientData/>
  </xdr:oneCellAnchor>
  <xdr:oneCellAnchor>
    <xdr:from>
      <xdr:col>3</xdr:col>
      <xdr:colOff>105409</xdr:colOff>
      <xdr:row>39</xdr:row>
      <xdr:rowOff>174459</xdr:rowOff>
    </xdr:from>
    <xdr:ext cx="525780" cy="137159"/>
    <xdr:pic>
      <xdr:nvPicPr>
        <xdr:cNvPr id="5"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2809" y="11718759"/>
          <a:ext cx="525780" cy="137159"/>
        </a:xfrm>
        <a:prstGeom prst="rect">
          <a:avLst/>
        </a:prstGeom>
      </xdr:spPr>
    </xdr:pic>
    <xdr:clientData/>
  </xdr:oneCellAnchor>
  <xdr:oneCellAnchor>
    <xdr:from>
      <xdr:col>3</xdr:col>
      <xdr:colOff>158749</xdr:colOff>
      <xdr:row>41</xdr:row>
      <xdr:rowOff>113500</xdr:rowOff>
    </xdr:from>
    <xdr:ext cx="485775" cy="411479"/>
    <xdr:pic>
      <xdr:nvPicPr>
        <xdr:cNvPr id="6" name="image5.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16149" y="12404560"/>
          <a:ext cx="485775" cy="411479"/>
        </a:xfrm>
        <a:prstGeom prst="rect">
          <a:avLst/>
        </a:prstGeom>
      </xdr:spPr>
    </xdr:pic>
    <xdr:clientData/>
  </xdr:oneCellAnchor>
  <xdr:oneCellAnchor>
    <xdr:from>
      <xdr:col>3</xdr:col>
      <xdr:colOff>234949</xdr:colOff>
      <xdr:row>45</xdr:row>
      <xdr:rowOff>204940</xdr:rowOff>
    </xdr:from>
    <xdr:ext cx="480060" cy="342900"/>
    <xdr:pic>
      <xdr:nvPicPr>
        <xdr:cNvPr id="7" name="image6.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92349" y="13699960"/>
          <a:ext cx="480060" cy="342900"/>
        </a:xfrm>
        <a:prstGeom prst="rect">
          <a:avLst/>
        </a:prstGeom>
      </xdr:spPr>
    </xdr:pic>
    <xdr:clientData/>
  </xdr:oneCellAnchor>
  <xdr:oneCellAnchor>
    <xdr:from>
      <xdr:col>3</xdr:col>
      <xdr:colOff>212090</xdr:colOff>
      <xdr:row>47</xdr:row>
      <xdr:rowOff>182079</xdr:rowOff>
    </xdr:from>
    <xdr:ext cx="411480" cy="434340"/>
    <xdr:pic>
      <xdr:nvPicPr>
        <xdr:cNvPr id="8" name="image7.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69490" y="14500059"/>
          <a:ext cx="411480" cy="434340"/>
        </a:xfrm>
        <a:prstGeom prst="rect">
          <a:avLst/>
        </a:prstGeom>
      </xdr:spPr>
    </xdr:pic>
    <xdr:clientData/>
  </xdr:oneCellAnchor>
  <xdr:oneCellAnchor>
    <xdr:from>
      <xdr:col>3</xdr:col>
      <xdr:colOff>311150</xdr:colOff>
      <xdr:row>49</xdr:row>
      <xdr:rowOff>125882</xdr:rowOff>
    </xdr:from>
    <xdr:ext cx="231457" cy="460057"/>
    <xdr:pic>
      <xdr:nvPicPr>
        <xdr:cNvPr id="9" name="image8.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68550" y="15312542"/>
          <a:ext cx="231457" cy="460057"/>
        </a:xfrm>
        <a:prstGeom prst="rect">
          <a:avLst/>
        </a:prstGeom>
      </xdr:spPr>
    </xdr:pic>
    <xdr:clientData/>
  </xdr:oneCellAnchor>
  <xdr:oneCellAnchor>
    <xdr:from>
      <xdr:col>3</xdr:col>
      <xdr:colOff>196850</xdr:colOff>
      <xdr:row>52</xdr:row>
      <xdr:rowOff>136359</xdr:rowOff>
    </xdr:from>
    <xdr:ext cx="457200" cy="320040"/>
    <xdr:pic>
      <xdr:nvPicPr>
        <xdr:cNvPr id="10" name="image9.jpe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54250" y="16389819"/>
          <a:ext cx="457200" cy="320040"/>
        </a:xfrm>
        <a:prstGeom prst="rect">
          <a:avLst/>
        </a:prstGeom>
      </xdr:spPr>
    </xdr:pic>
    <xdr:clientData/>
  </xdr:oneCellAnchor>
  <xdr:oneCellAnchor>
    <xdr:from>
      <xdr:col>3</xdr:col>
      <xdr:colOff>227330</xdr:colOff>
      <xdr:row>54</xdr:row>
      <xdr:rowOff>113499</xdr:rowOff>
    </xdr:from>
    <xdr:ext cx="388620" cy="411479"/>
    <xdr:pic>
      <xdr:nvPicPr>
        <xdr:cNvPr id="11" name="image10.jpeg"/>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284730" y="17121339"/>
          <a:ext cx="388620" cy="411479"/>
        </a:xfrm>
        <a:prstGeom prst="rect">
          <a:avLst/>
        </a:prstGeom>
      </xdr:spPr>
    </xdr:pic>
    <xdr:clientData/>
  </xdr:oneCellAnchor>
  <xdr:oneCellAnchor>
    <xdr:from>
      <xdr:col>3</xdr:col>
      <xdr:colOff>299397</xdr:colOff>
      <xdr:row>56</xdr:row>
      <xdr:rowOff>102974</xdr:rowOff>
    </xdr:from>
    <xdr:ext cx="162732" cy="460105"/>
    <xdr:pic>
      <xdr:nvPicPr>
        <xdr:cNvPr id="12" name="image11.jpeg"/>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56797" y="17926154"/>
          <a:ext cx="162732" cy="460105"/>
        </a:xfrm>
        <a:prstGeom prst="rect">
          <a:avLst/>
        </a:prstGeom>
      </xdr:spPr>
    </xdr:pic>
    <xdr:clientData/>
  </xdr:oneCellAnchor>
  <xdr:oneCellAnchor>
    <xdr:from>
      <xdr:col>3</xdr:col>
      <xdr:colOff>204469</xdr:colOff>
      <xdr:row>58</xdr:row>
      <xdr:rowOff>98260</xdr:rowOff>
    </xdr:from>
    <xdr:ext cx="365760" cy="391477"/>
    <xdr:pic>
      <xdr:nvPicPr>
        <xdr:cNvPr id="13" name="image12.jpeg"/>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61869" y="18736780"/>
          <a:ext cx="365760" cy="391477"/>
        </a:xfrm>
        <a:prstGeom prst="rect">
          <a:avLst/>
        </a:prstGeom>
      </xdr:spPr>
    </xdr:pic>
    <xdr:clientData/>
  </xdr:oneCellAnchor>
  <xdr:oneCellAnchor>
    <xdr:from>
      <xdr:col>3</xdr:col>
      <xdr:colOff>257809</xdr:colOff>
      <xdr:row>66</xdr:row>
      <xdr:rowOff>143979</xdr:rowOff>
    </xdr:from>
    <xdr:ext cx="365760" cy="502919"/>
    <xdr:pic>
      <xdr:nvPicPr>
        <xdr:cNvPr id="14" name="image13.jpeg"/>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15209" y="19834059"/>
          <a:ext cx="365760" cy="502919"/>
        </a:xfrm>
        <a:prstGeom prst="rect">
          <a:avLst/>
        </a:prstGeom>
      </xdr:spPr>
    </xdr:pic>
    <xdr:clientData/>
  </xdr:oneCellAnchor>
  <xdr:oneCellAnchor>
    <xdr:from>
      <xdr:col>3</xdr:col>
      <xdr:colOff>242570</xdr:colOff>
      <xdr:row>68</xdr:row>
      <xdr:rowOff>105879</xdr:rowOff>
    </xdr:from>
    <xdr:ext cx="297180" cy="388620"/>
    <xdr:pic>
      <xdr:nvPicPr>
        <xdr:cNvPr id="15" name="image14.jpeg"/>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299970" y="20664639"/>
          <a:ext cx="297180" cy="388620"/>
        </a:xfrm>
        <a:prstGeom prst="rect">
          <a:avLst/>
        </a:prstGeom>
      </xdr:spPr>
    </xdr:pic>
    <xdr:clientData/>
  </xdr:oneCellAnchor>
  <xdr:oneCellAnchor>
    <xdr:from>
      <xdr:col>3</xdr:col>
      <xdr:colOff>44450</xdr:colOff>
      <xdr:row>60</xdr:row>
      <xdr:rowOff>61850</xdr:rowOff>
    </xdr:from>
    <xdr:ext cx="568118" cy="336472"/>
    <xdr:pic>
      <xdr:nvPicPr>
        <xdr:cNvPr id="18" name="image13.jpeg"/>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33170" y="10188830"/>
          <a:ext cx="568118" cy="336472"/>
        </a:xfrm>
        <a:prstGeom prst="rect">
          <a:avLst/>
        </a:prstGeom>
      </xdr:spPr>
    </xdr:pic>
    <xdr:clientData/>
  </xdr:oneCellAnchor>
  <xdr:oneCellAnchor>
    <xdr:from>
      <xdr:col>3</xdr:col>
      <xdr:colOff>158750</xdr:colOff>
      <xdr:row>63</xdr:row>
      <xdr:rowOff>105879</xdr:rowOff>
    </xdr:from>
    <xdr:ext cx="342900" cy="480060"/>
    <xdr:pic>
      <xdr:nvPicPr>
        <xdr:cNvPr id="21" name="image14.jpeg"/>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47470" y="1142199"/>
          <a:ext cx="342900" cy="48006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90169</xdr:colOff>
      <xdr:row>1</xdr:row>
      <xdr:rowOff>151600</xdr:rowOff>
    </xdr:from>
    <xdr:ext cx="485775" cy="411479"/>
    <xdr:pic>
      <xdr:nvPicPr>
        <xdr:cNvPr id="16" name="image5.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85775" cy="411479"/>
        </a:xfrm>
        <a:prstGeom prst="rect">
          <a:avLst/>
        </a:prstGeom>
      </xdr:spPr>
    </xdr:pic>
    <xdr:clientData/>
  </xdr:oneCellAnchor>
  <xdr:oneCellAnchor>
    <xdr:from>
      <xdr:col>2</xdr:col>
      <xdr:colOff>90169</xdr:colOff>
      <xdr:row>6</xdr:row>
      <xdr:rowOff>174460</xdr:rowOff>
    </xdr:from>
    <xdr:ext cx="480060" cy="342900"/>
    <xdr:pic>
      <xdr:nvPicPr>
        <xdr:cNvPr id="17" name="image6.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80060" cy="342900"/>
        </a:xfrm>
        <a:prstGeom prst="rect">
          <a:avLst/>
        </a:prstGeom>
      </xdr:spPr>
    </xdr:pic>
    <xdr:clientData/>
  </xdr:oneCellAnchor>
  <xdr:oneCellAnchor>
    <xdr:from>
      <xdr:col>2</xdr:col>
      <xdr:colOff>113030</xdr:colOff>
      <xdr:row>8</xdr:row>
      <xdr:rowOff>128739</xdr:rowOff>
    </xdr:from>
    <xdr:ext cx="411480" cy="434340"/>
    <xdr:pic>
      <xdr:nvPicPr>
        <xdr:cNvPr id="18" name="image7.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11480" cy="434340"/>
        </a:xfrm>
        <a:prstGeom prst="rect">
          <a:avLst/>
        </a:prstGeom>
      </xdr:spPr>
    </xdr:pic>
    <xdr:clientData/>
  </xdr:oneCellAnchor>
  <xdr:oneCellAnchor>
    <xdr:from>
      <xdr:col>2</xdr:col>
      <xdr:colOff>227330</xdr:colOff>
      <xdr:row>10</xdr:row>
      <xdr:rowOff>103022</xdr:rowOff>
    </xdr:from>
    <xdr:ext cx="231457" cy="460057"/>
    <xdr:pic>
      <xdr:nvPicPr>
        <xdr:cNvPr id="19" name="image8.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31457" cy="460057"/>
        </a:xfrm>
        <a:prstGeom prst="rect">
          <a:avLst/>
        </a:prstGeom>
      </xdr:spPr>
    </xdr:pic>
    <xdr:clientData/>
  </xdr:oneCellAnchor>
  <xdr:oneCellAnchor>
    <xdr:from>
      <xdr:col>2</xdr:col>
      <xdr:colOff>113030</xdr:colOff>
      <xdr:row>15</xdr:row>
      <xdr:rowOff>197319</xdr:rowOff>
    </xdr:from>
    <xdr:ext cx="457200" cy="320040"/>
    <xdr:pic>
      <xdr:nvPicPr>
        <xdr:cNvPr id="20" name="image9.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457200" cy="320040"/>
        </a:xfrm>
        <a:prstGeom prst="rect">
          <a:avLst/>
        </a:prstGeom>
      </xdr:spPr>
    </xdr:pic>
    <xdr:clientData/>
  </xdr:oneCellAnchor>
  <xdr:oneCellAnchor>
    <xdr:from>
      <xdr:col>2</xdr:col>
      <xdr:colOff>158750</xdr:colOff>
      <xdr:row>17</xdr:row>
      <xdr:rowOff>128739</xdr:rowOff>
    </xdr:from>
    <xdr:ext cx="388620" cy="411479"/>
    <xdr:pic>
      <xdr:nvPicPr>
        <xdr:cNvPr id="21" name="image10.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388620" cy="411479"/>
        </a:xfrm>
        <a:prstGeom prst="rect">
          <a:avLst/>
        </a:prstGeom>
      </xdr:spPr>
    </xdr:pic>
    <xdr:clientData/>
  </xdr:oneCellAnchor>
  <xdr:oneCellAnchor>
    <xdr:from>
      <xdr:col>2</xdr:col>
      <xdr:colOff>253677</xdr:colOff>
      <xdr:row>19</xdr:row>
      <xdr:rowOff>171554</xdr:rowOff>
    </xdr:from>
    <xdr:ext cx="162732" cy="460105"/>
    <xdr:pic>
      <xdr:nvPicPr>
        <xdr:cNvPr id="22" name="image11.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62732" cy="460105"/>
        </a:xfrm>
        <a:prstGeom prst="rect">
          <a:avLst/>
        </a:prstGeom>
      </xdr:spPr>
    </xdr:pic>
    <xdr:clientData/>
  </xdr:oneCellAnchor>
  <xdr:oneCellAnchor>
    <xdr:from>
      <xdr:col>2</xdr:col>
      <xdr:colOff>135889</xdr:colOff>
      <xdr:row>21</xdr:row>
      <xdr:rowOff>128740</xdr:rowOff>
    </xdr:from>
    <xdr:ext cx="365760" cy="391477"/>
    <xdr:pic>
      <xdr:nvPicPr>
        <xdr:cNvPr id="23" name="image12.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65760" cy="391477"/>
        </a:xfrm>
        <a:prstGeom prst="rect">
          <a:avLst/>
        </a:prstGeom>
      </xdr:spPr>
    </xdr:pic>
    <xdr:clientData/>
  </xdr:oneCellAnchor>
  <xdr:oneCellAnchor>
    <xdr:from>
      <xdr:col>2</xdr:col>
      <xdr:colOff>44450</xdr:colOff>
      <xdr:row>23</xdr:row>
      <xdr:rowOff>61850</xdr:rowOff>
    </xdr:from>
    <xdr:ext cx="568118" cy="336472"/>
    <xdr:pic>
      <xdr:nvPicPr>
        <xdr:cNvPr id="24" name="image13.jpe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568118" cy="33647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158750</xdr:colOff>
      <xdr:row>2</xdr:row>
      <xdr:rowOff>105879</xdr:rowOff>
    </xdr:from>
    <xdr:ext cx="342900" cy="480060"/>
    <xdr:pic>
      <xdr:nvPicPr>
        <xdr:cNvPr id="25" name="image14.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42900" cy="48006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135889</xdr:colOff>
      <xdr:row>2</xdr:row>
      <xdr:rowOff>83020</xdr:rowOff>
    </xdr:from>
    <xdr:ext cx="365760" cy="502920"/>
    <xdr:pic>
      <xdr:nvPicPr>
        <xdr:cNvPr id="26" name="image15.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65760" cy="502920"/>
        </a:xfrm>
        <a:prstGeom prst="rect">
          <a:avLst/>
        </a:prstGeom>
      </xdr:spPr>
    </xdr:pic>
    <xdr:clientData/>
  </xdr:oneCellAnchor>
  <xdr:oneCellAnchor>
    <xdr:from>
      <xdr:col>3</xdr:col>
      <xdr:colOff>158750</xdr:colOff>
      <xdr:row>4</xdr:row>
      <xdr:rowOff>151599</xdr:rowOff>
    </xdr:from>
    <xdr:ext cx="297180" cy="388620"/>
    <xdr:pic>
      <xdr:nvPicPr>
        <xdr:cNvPr id="27" name="image16.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97180" cy="388620"/>
        </a:xfrm>
        <a:prstGeom prst="rect">
          <a:avLst/>
        </a:prstGeom>
      </xdr:spPr>
    </xdr:pic>
    <xdr:clientData/>
  </xdr:oneCellAnchor>
  <xdr:oneCellAnchor>
    <xdr:from>
      <xdr:col>0</xdr:col>
      <xdr:colOff>99060</xdr:colOff>
      <xdr:row>8</xdr:row>
      <xdr:rowOff>15240</xdr:rowOff>
    </xdr:from>
    <xdr:ext cx="7340600" cy="220979"/>
    <xdr:sp macro="" textlink="">
      <xdr:nvSpPr>
        <xdr:cNvPr id="34" name="Textbox 34"/>
        <xdr:cNvSpPr txBox="1"/>
      </xdr:nvSpPr>
      <xdr:spPr>
        <a:xfrm>
          <a:off x="99060" y="3703320"/>
          <a:ext cx="7340600" cy="220979"/>
        </a:xfrm>
        <a:prstGeom prst="rect">
          <a:avLst/>
        </a:prstGeom>
      </xdr:spPr>
      <xdr:txBody>
        <a:bodyPr vertOverflow="clip" lIns="0" tIns="0" rIns="0" bIns="0" anchor="t"/>
        <a:lstStyle/>
        <a:p>
          <a:r>
            <a:rPr sz="1200" b="1">
              <a:latin typeface="Arial"/>
              <a:cs typeface="Arial"/>
            </a:rPr>
            <a:t>Amount (In Words): </a:t>
          </a:r>
          <a:r>
            <a:rPr sz="1200" b="0">
              <a:latin typeface="Arial MT"/>
              <a:cs typeface="Arial MT"/>
            </a:rPr>
            <a:t>Seventy Five Lakh Seventy Seven Thousand Nine Hundred Thirty Six Rupees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anhu1971@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kanhu1971@yahoo.co.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mailto:kiran.jagtap@jaquar.com" TargetMode="External"/><Relationship Id="rId2" Type="http://schemas.openxmlformats.org/officeDocument/2006/relationships/hyperlink" Target="mailto:ashish.rajpurohit@jaquar.com" TargetMode="External"/><Relationship Id="rId1" Type="http://schemas.openxmlformats.org/officeDocument/2006/relationships/hyperlink" Target="mailto:kanhu1971@gmail.com" TargetMode="External"/><Relationship Id="rId6" Type="http://schemas.openxmlformats.org/officeDocument/2006/relationships/drawing" Target="../drawings/drawing5.xml"/><Relationship Id="rId5" Type="http://schemas.openxmlformats.org/officeDocument/2006/relationships/hyperlink" Target="http://www.jaquar.com/" TargetMode="External"/><Relationship Id="rId4" Type="http://schemas.openxmlformats.org/officeDocument/2006/relationships/hyperlink" Target="mailto:KPAM@jaqua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1"/>
  <sheetViews>
    <sheetView topLeftCell="B31" workbookViewId="0">
      <selection activeCell="J34" sqref="J34:O34"/>
    </sheetView>
  </sheetViews>
  <sheetFormatPr defaultRowHeight="13.2"/>
  <cols>
    <col min="2" max="2" width="4.44140625" bestFit="1" customWidth="1"/>
    <col min="3" max="3" width="16.6640625" bestFit="1" customWidth="1"/>
    <col min="4" max="4" width="5.33203125" customWidth="1"/>
    <col min="5" max="5" width="6.6640625" customWidth="1"/>
    <col min="6" max="6" width="5" bestFit="1" customWidth="1"/>
    <col min="7" max="7" width="12.6640625" bestFit="1" customWidth="1"/>
    <col min="8" max="8" width="3.77734375" customWidth="1"/>
    <col min="9" max="9" width="8.21875" customWidth="1"/>
    <col min="10" max="10" width="6.44140625" customWidth="1"/>
    <col min="11" max="11" width="6" customWidth="1"/>
    <col min="12" max="12" width="5.6640625" bestFit="1" customWidth="1"/>
    <col min="13" max="13" width="12.44140625" customWidth="1"/>
    <col min="14" max="14" width="42.21875" customWidth="1"/>
    <col min="15" max="15" width="25" hidden="1" customWidth="1"/>
    <col min="16" max="16" width="3.109375" customWidth="1"/>
    <col min="18" max="18" width="55.109375" bestFit="1" customWidth="1"/>
  </cols>
  <sheetData>
    <row r="2" spans="2:22" ht="34.799999999999997">
      <c r="B2" s="106" t="s">
        <v>155</v>
      </c>
      <c r="C2" s="107"/>
      <c r="D2" s="107"/>
      <c r="E2" s="107"/>
      <c r="F2" s="107"/>
      <c r="G2" s="107"/>
      <c r="H2" s="107"/>
      <c r="I2" s="107"/>
      <c r="J2" s="107"/>
      <c r="K2" s="107"/>
      <c r="L2" s="107"/>
      <c r="M2" s="107"/>
      <c r="N2" s="108"/>
    </row>
    <row r="3" spans="2:22" ht="29.4">
      <c r="B3" s="109" t="s">
        <v>156</v>
      </c>
      <c r="C3" s="110"/>
      <c r="D3" s="110"/>
      <c r="E3" s="110"/>
      <c r="F3" s="110"/>
      <c r="G3" s="110"/>
      <c r="H3" s="110"/>
      <c r="I3" s="110"/>
      <c r="J3" s="110"/>
      <c r="K3" s="110"/>
      <c r="L3" s="110"/>
      <c r="M3" s="110"/>
      <c r="N3" s="111"/>
    </row>
    <row r="4" spans="2:22" ht="20.399999999999999">
      <c r="B4" s="112" t="s">
        <v>157</v>
      </c>
      <c r="C4" s="113"/>
      <c r="D4" s="113"/>
      <c r="E4" s="113"/>
      <c r="F4" s="113"/>
      <c r="G4" s="113"/>
      <c r="H4" s="113"/>
      <c r="I4" s="113"/>
      <c r="J4" s="113"/>
      <c r="K4" s="113"/>
      <c r="L4" s="113"/>
      <c r="M4" s="113"/>
      <c r="N4" s="114"/>
    </row>
    <row r="5" spans="2:22" ht="21.6" thickBot="1">
      <c r="C5" s="24"/>
      <c r="D5" s="24"/>
      <c r="E5" s="24"/>
      <c r="F5" s="24"/>
      <c r="G5" s="24"/>
    </row>
    <row r="6" spans="2:22" ht="18" thickBot="1">
      <c r="B6" s="25" t="s">
        <v>158</v>
      </c>
      <c r="C6" s="26"/>
      <c r="D6" s="26"/>
      <c r="E6" s="27"/>
      <c r="F6" s="115"/>
      <c r="G6" s="116"/>
      <c r="H6" s="116"/>
      <c r="I6" s="116"/>
      <c r="J6" s="116"/>
      <c r="K6" s="116"/>
      <c r="L6" s="116"/>
      <c r="M6" s="117"/>
      <c r="N6" s="28" t="s">
        <v>159</v>
      </c>
    </row>
    <row r="7" spans="2:22" ht="18.600000000000001" thickBot="1">
      <c r="C7" s="29"/>
      <c r="D7" s="30"/>
      <c r="E7" s="30"/>
      <c r="F7" s="29"/>
      <c r="G7" s="29"/>
    </row>
    <row r="8" spans="2:22" ht="25.2" thickBot="1">
      <c r="C8" s="29"/>
      <c r="D8" s="30"/>
      <c r="E8" s="30"/>
      <c r="F8" s="29"/>
      <c r="N8" s="31" t="s">
        <v>171</v>
      </c>
    </row>
    <row r="9" spans="2:22" ht="18">
      <c r="C9" s="29"/>
      <c r="D9" s="30"/>
      <c r="E9" s="30"/>
      <c r="F9" s="29"/>
      <c r="G9" s="32"/>
    </row>
    <row r="10" spans="2:22" ht="18">
      <c r="B10" s="33" t="s">
        <v>160</v>
      </c>
      <c r="C10" s="34"/>
      <c r="D10" s="35"/>
      <c r="E10" s="35"/>
      <c r="F10" s="36"/>
      <c r="G10" s="37"/>
      <c r="H10" s="38"/>
      <c r="I10" s="38"/>
      <c r="J10" s="38"/>
      <c r="K10" s="38"/>
      <c r="L10" s="38"/>
      <c r="M10" s="38"/>
      <c r="N10" s="39"/>
      <c r="T10" s="29"/>
      <c r="U10" s="29"/>
      <c r="V10" s="29"/>
    </row>
    <row r="11" spans="2:22" ht="18">
      <c r="B11" s="40" t="s">
        <v>161</v>
      </c>
      <c r="C11" s="41"/>
      <c r="D11" s="30"/>
      <c r="E11" s="30"/>
      <c r="F11" s="42"/>
      <c r="G11" s="43"/>
      <c r="N11" s="44"/>
      <c r="T11" s="29"/>
      <c r="U11" s="29"/>
      <c r="V11" s="29"/>
    </row>
    <row r="12" spans="2:22" ht="18">
      <c r="B12" s="40" t="s">
        <v>162</v>
      </c>
      <c r="C12" s="41"/>
      <c r="D12" s="30"/>
      <c r="E12" s="30"/>
      <c r="F12" s="42"/>
      <c r="G12" s="43"/>
      <c r="N12" s="44"/>
      <c r="T12" s="29"/>
      <c r="U12" s="29"/>
      <c r="V12" s="29"/>
    </row>
    <row r="13" spans="2:22" ht="18">
      <c r="B13" s="45" t="s">
        <v>163</v>
      </c>
      <c r="C13" s="46"/>
      <c r="D13" s="30"/>
      <c r="E13" s="30"/>
      <c r="F13" s="42"/>
      <c r="G13" s="43"/>
      <c r="N13" s="44"/>
      <c r="T13" s="47"/>
      <c r="U13" s="47"/>
      <c r="V13" s="29"/>
    </row>
    <row r="14" spans="2:22" ht="20.399999999999999">
      <c r="B14" s="118" t="s">
        <v>164</v>
      </c>
      <c r="C14" s="119"/>
      <c r="D14" s="119"/>
      <c r="E14" s="119"/>
      <c r="F14" s="119"/>
      <c r="G14" s="119"/>
      <c r="H14" s="119"/>
      <c r="I14" s="119"/>
      <c r="J14" s="119"/>
      <c r="K14" s="119"/>
      <c r="L14" s="119"/>
      <c r="M14" s="119"/>
      <c r="N14" s="48"/>
      <c r="T14" s="29"/>
      <c r="U14" s="29"/>
      <c r="V14" s="29"/>
    </row>
    <row r="15" spans="2:22" ht="18" customHeight="1">
      <c r="B15" s="40" t="s">
        <v>165</v>
      </c>
      <c r="C15" s="41"/>
      <c r="D15" s="30"/>
      <c r="E15" s="30"/>
      <c r="F15" s="42"/>
      <c r="G15" s="43"/>
      <c r="N15" s="44"/>
      <c r="T15" s="47"/>
      <c r="U15" s="29"/>
      <c r="V15" s="29"/>
    </row>
    <row r="16" spans="2:22" ht="18" customHeight="1">
      <c r="B16" s="45" t="s">
        <v>166</v>
      </c>
      <c r="C16" s="46"/>
      <c r="D16" s="30"/>
      <c r="E16" s="30"/>
      <c r="F16" s="42"/>
      <c r="G16" s="43"/>
      <c r="N16" s="44"/>
      <c r="T16" s="47"/>
      <c r="U16" s="29"/>
      <c r="V16" s="29"/>
    </row>
    <row r="17" spans="2:22" ht="18" customHeight="1">
      <c r="B17" s="120" t="s">
        <v>167</v>
      </c>
      <c r="C17" s="121"/>
      <c r="D17" s="121"/>
      <c r="E17" s="49"/>
      <c r="F17" s="50"/>
      <c r="G17" s="51"/>
      <c r="H17" s="52"/>
      <c r="I17" s="52"/>
      <c r="J17" s="52"/>
      <c r="K17" s="52"/>
      <c r="L17" s="52"/>
      <c r="M17" s="52"/>
      <c r="N17" s="53"/>
      <c r="T17" s="47"/>
      <c r="U17" s="29"/>
      <c r="V17" s="29"/>
    </row>
    <row r="18" spans="2:22" ht="18" customHeight="1">
      <c r="B18" s="46"/>
      <c r="C18" s="46"/>
      <c r="D18" s="30"/>
      <c r="E18" s="30"/>
      <c r="F18" s="29"/>
      <c r="G18" s="32"/>
      <c r="T18" s="47"/>
      <c r="U18" s="29"/>
      <c r="V18" s="29"/>
    </row>
    <row r="19" spans="2:22" ht="17.399999999999999">
      <c r="B19" s="88" t="s">
        <v>172</v>
      </c>
      <c r="C19" s="89"/>
      <c r="D19" s="89"/>
      <c r="E19" s="89"/>
      <c r="F19" s="89"/>
      <c r="G19" s="89"/>
      <c r="H19" s="89"/>
      <c r="I19" s="89"/>
      <c r="J19" s="89"/>
      <c r="K19" s="89"/>
      <c r="L19" s="89"/>
      <c r="M19" s="89"/>
      <c r="N19" s="90"/>
      <c r="R19" s="91"/>
      <c r="S19" s="91"/>
      <c r="T19" s="91"/>
      <c r="U19" s="91"/>
      <c r="V19" s="91"/>
    </row>
    <row r="20" spans="2:22" ht="21">
      <c r="B20" s="92" t="s">
        <v>168</v>
      </c>
      <c r="C20" s="93"/>
      <c r="D20" s="94"/>
      <c r="E20" s="94"/>
      <c r="F20" s="94"/>
      <c r="G20" s="94"/>
      <c r="H20" s="94"/>
      <c r="I20" s="94"/>
      <c r="J20" s="94"/>
      <c r="K20" s="94"/>
      <c r="L20" s="94"/>
      <c r="M20" s="94"/>
      <c r="N20" s="94"/>
      <c r="R20" s="54"/>
      <c r="S20" s="54"/>
      <c r="T20" s="54"/>
      <c r="U20" s="54"/>
      <c r="V20" s="54"/>
    </row>
    <row r="21" spans="2:22" ht="17.399999999999999" customHeight="1">
      <c r="B21" s="95" t="s">
        <v>169</v>
      </c>
      <c r="C21" s="96"/>
      <c r="D21" s="96"/>
      <c r="E21" s="96"/>
      <c r="F21" s="96"/>
      <c r="G21" s="96"/>
      <c r="H21" s="96"/>
      <c r="I21" s="96"/>
      <c r="J21" s="96"/>
      <c r="K21" s="96"/>
      <c r="L21" s="96"/>
      <c r="M21" s="96"/>
      <c r="N21" s="97"/>
      <c r="R21" s="54"/>
      <c r="S21" s="54"/>
      <c r="T21" s="54"/>
      <c r="U21" s="54"/>
      <c r="V21" s="54"/>
    </row>
    <row r="22" spans="2:22" ht="17.399999999999999">
      <c r="B22" s="98"/>
      <c r="C22" s="99"/>
      <c r="D22" s="99"/>
      <c r="E22" s="99"/>
      <c r="F22" s="99"/>
      <c r="G22" s="99"/>
      <c r="H22" s="99"/>
      <c r="I22" s="99"/>
      <c r="J22" s="99"/>
      <c r="K22" s="99"/>
      <c r="L22" s="99"/>
      <c r="M22" s="99"/>
      <c r="N22" s="100"/>
      <c r="R22" s="54"/>
      <c r="S22" s="54"/>
      <c r="T22" s="54"/>
      <c r="U22" s="54"/>
      <c r="V22" s="54"/>
    </row>
    <row r="23" spans="2:22" ht="21">
      <c r="B23" s="101"/>
      <c r="C23" s="102"/>
      <c r="D23" s="102"/>
      <c r="E23" s="102"/>
      <c r="F23" s="102"/>
      <c r="G23" s="102"/>
      <c r="H23" s="102"/>
      <c r="I23" s="102"/>
      <c r="J23" s="102"/>
      <c r="K23" s="102"/>
      <c r="L23" s="102"/>
      <c r="M23" s="102"/>
      <c r="N23" s="103"/>
      <c r="R23" s="55"/>
      <c r="S23" s="56"/>
      <c r="T23" s="56"/>
      <c r="U23" s="56"/>
      <c r="V23" s="56"/>
    </row>
    <row r="24" spans="2:22" ht="21.6" thickBot="1">
      <c r="B24" s="82" t="s">
        <v>170</v>
      </c>
      <c r="C24" s="104"/>
      <c r="D24" s="104"/>
      <c r="E24" s="104"/>
      <c r="F24" s="104"/>
      <c r="G24" s="104"/>
      <c r="H24" s="104"/>
      <c r="I24" s="104"/>
      <c r="J24" s="104"/>
      <c r="K24" s="104" t="s">
        <v>0</v>
      </c>
      <c r="L24" s="104"/>
      <c r="M24" s="104"/>
      <c r="N24" s="104"/>
      <c r="R24" s="105"/>
      <c r="S24" s="105"/>
      <c r="T24" s="105"/>
      <c r="U24" s="105"/>
      <c r="V24" s="105"/>
    </row>
    <row r="25" spans="2:22" ht="15.6" customHeight="1">
      <c r="B25" s="82" t="s">
        <v>1</v>
      </c>
      <c r="C25" s="82"/>
      <c r="D25" s="82"/>
      <c r="E25" s="83" t="s">
        <v>2</v>
      </c>
      <c r="F25" s="84"/>
      <c r="G25" s="84"/>
      <c r="H25" s="85"/>
      <c r="I25" s="82" t="s">
        <v>3</v>
      </c>
      <c r="J25" s="82"/>
      <c r="K25" s="82"/>
      <c r="L25" s="82"/>
      <c r="M25" s="83" t="s">
        <v>4</v>
      </c>
      <c r="N25" s="84"/>
    </row>
    <row r="26" spans="2:22" ht="15.6" customHeight="1">
      <c r="B26" s="82" t="s">
        <v>5</v>
      </c>
      <c r="C26" s="82"/>
      <c r="D26" s="82"/>
      <c r="E26" s="83" t="s">
        <v>6</v>
      </c>
      <c r="F26" s="84"/>
      <c r="G26" s="84"/>
      <c r="H26" s="85"/>
      <c r="I26" s="82" t="s">
        <v>7</v>
      </c>
      <c r="J26" s="82"/>
      <c r="K26" s="82"/>
      <c r="L26" s="82"/>
      <c r="M26" s="83" t="s">
        <v>8</v>
      </c>
      <c r="N26" s="84"/>
    </row>
    <row r="27" spans="2:22" ht="15.6" customHeight="1">
      <c r="B27" s="82" t="s">
        <v>9</v>
      </c>
      <c r="C27" s="82"/>
      <c r="D27" s="82"/>
      <c r="E27" s="83" t="s">
        <v>10</v>
      </c>
      <c r="F27" s="84"/>
      <c r="G27" s="84"/>
      <c r="H27" s="85"/>
      <c r="I27" s="82" t="s">
        <v>11</v>
      </c>
      <c r="J27" s="82"/>
      <c r="K27" s="82"/>
      <c r="L27" s="82"/>
      <c r="M27" s="83" t="s">
        <v>8</v>
      </c>
      <c r="N27" s="84"/>
    </row>
    <row r="28" spans="2:22" ht="15.6" customHeight="1">
      <c r="B28" s="82" t="s">
        <v>12</v>
      </c>
      <c r="C28" s="82"/>
      <c r="D28" s="82"/>
      <c r="E28" s="83" t="s">
        <v>13</v>
      </c>
      <c r="F28" s="84"/>
      <c r="G28" s="84"/>
      <c r="H28" s="85"/>
      <c r="I28" s="82" t="s">
        <v>14</v>
      </c>
      <c r="J28" s="82"/>
      <c r="K28" s="82"/>
      <c r="L28" s="82"/>
      <c r="M28" s="83" t="s">
        <v>15</v>
      </c>
      <c r="N28" s="84"/>
    </row>
    <row r="29" spans="2:22" ht="15.6">
      <c r="B29" s="82" t="s">
        <v>16</v>
      </c>
      <c r="C29" s="82"/>
      <c r="D29" s="82"/>
      <c r="E29" s="83" t="s">
        <v>17</v>
      </c>
      <c r="F29" s="84"/>
      <c r="G29" s="84"/>
      <c r="H29" s="85"/>
      <c r="I29" s="82" t="s">
        <v>18</v>
      </c>
      <c r="J29" s="82"/>
      <c r="K29" s="82"/>
      <c r="L29" s="82"/>
      <c r="M29" s="86">
        <v>7350840980</v>
      </c>
      <c r="N29" s="87"/>
    </row>
    <row r="30" spans="2:22" ht="15.6" customHeight="1">
      <c r="B30" s="82" t="s">
        <v>19</v>
      </c>
      <c r="C30" s="82"/>
      <c r="D30" s="82"/>
      <c r="E30" s="83" t="s">
        <v>20</v>
      </c>
      <c r="F30" s="84"/>
      <c r="G30" s="84"/>
      <c r="H30" s="85"/>
      <c r="I30" s="82" t="s">
        <v>21</v>
      </c>
      <c r="J30" s="82"/>
      <c r="K30" s="82"/>
      <c r="L30" s="82"/>
      <c r="M30" s="83" t="s">
        <v>22</v>
      </c>
      <c r="N30" s="84"/>
    </row>
    <row r="31" spans="2:22" ht="21">
      <c r="B31" s="75"/>
      <c r="C31" s="76"/>
      <c r="D31" s="76"/>
      <c r="E31" s="76"/>
      <c r="F31" s="76"/>
      <c r="G31" s="76"/>
      <c r="H31" s="76"/>
      <c r="I31" s="76"/>
      <c r="J31" s="76"/>
      <c r="K31" s="76"/>
      <c r="L31" s="76"/>
      <c r="M31" s="76"/>
      <c r="N31" s="76"/>
      <c r="O31" s="76"/>
      <c r="P31" s="76"/>
    </row>
    <row r="32" spans="2:22" ht="46.2" customHeight="1">
      <c r="B32" s="77" t="s">
        <v>23</v>
      </c>
      <c r="C32" s="77"/>
      <c r="D32" s="77"/>
      <c r="E32" s="77"/>
      <c r="F32" s="77"/>
      <c r="G32" s="77"/>
      <c r="H32" s="77"/>
      <c r="I32" s="77"/>
      <c r="J32" s="77"/>
      <c r="K32" s="77"/>
      <c r="L32" s="77"/>
      <c r="M32" s="77"/>
      <c r="N32" s="77"/>
      <c r="O32" s="77"/>
      <c r="P32" s="77"/>
    </row>
    <row r="33" spans="2:15" ht="24">
      <c r="B33" s="1" t="s">
        <v>24</v>
      </c>
      <c r="C33" s="2" t="s">
        <v>25</v>
      </c>
      <c r="D33" s="78" t="s">
        <v>26</v>
      </c>
      <c r="E33" s="79"/>
      <c r="F33" s="4" t="s">
        <v>27</v>
      </c>
      <c r="G33" s="4" t="s">
        <v>28</v>
      </c>
      <c r="H33" s="78" t="s">
        <v>29</v>
      </c>
      <c r="I33" s="79"/>
      <c r="J33" s="80" t="s">
        <v>30</v>
      </c>
      <c r="K33" s="81"/>
      <c r="L33" s="5" t="s">
        <v>31</v>
      </c>
      <c r="M33" s="5" t="s">
        <v>32</v>
      </c>
      <c r="N33" s="80" t="s">
        <v>33</v>
      </c>
      <c r="O33" s="81"/>
    </row>
    <row r="34" spans="2:15" ht="52.8" customHeight="1">
      <c r="B34" s="6">
        <v>1</v>
      </c>
      <c r="C34" s="7" t="s">
        <v>34</v>
      </c>
      <c r="D34" s="63"/>
      <c r="E34" s="64"/>
      <c r="F34" s="57">
        <v>279</v>
      </c>
      <c r="G34" s="9">
        <v>2650</v>
      </c>
      <c r="H34" s="73">
        <v>1590</v>
      </c>
      <c r="I34" s="74"/>
      <c r="J34" s="67">
        <f>F34*H34</f>
        <v>443610</v>
      </c>
      <c r="K34" s="68"/>
      <c r="L34" s="11">
        <v>18</v>
      </c>
      <c r="M34" s="58">
        <f>J34*L34%</f>
        <v>79849.8</v>
      </c>
      <c r="N34" s="69">
        <f>J34+M34</f>
        <v>523459.8</v>
      </c>
      <c r="O34" s="70"/>
    </row>
    <row r="35" spans="2:15" ht="16.2" customHeight="1">
      <c r="B35" s="71" t="s">
        <v>35</v>
      </c>
      <c r="C35" s="72"/>
      <c r="D35" s="72"/>
      <c r="E35" s="72"/>
      <c r="F35" s="72"/>
      <c r="G35" s="72"/>
      <c r="H35" s="72"/>
      <c r="I35" s="72"/>
      <c r="J35" s="72"/>
      <c r="K35" s="72"/>
      <c r="L35" s="72"/>
      <c r="M35" s="72"/>
      <c r="N35" s="72"/>
      <c r="O35" s="68"/>
    </row>
    <row r="36" spans="2:15" ht="60.6" customHeight="1">
      <c r="B36" s="6">
        <v>2</v>
      </c>
      <c r="C36" s="7" t="s">
        <v>36</v>
      </c>
      <c r="D36" s="63"/>
      <c r="E36" s="64"/>
      <c r="F36" s="57">
        <v>279</v>
      </c>
      <c r="G36" s="9">
        <v>2275</v>
      </c>
      <c r="H36" s="73">
        <v>1275</v>
      </c>
      <c r="I36" s="74"/>
      <c r="J36" s="67">
        <f>F36*H36</f>
        <v>355725</v>
      </c>
      <c r="K36" s="68"/>
      <c r="L36" s="11">
        <v>18</v>
      </c>
      <c r="M36" s="58">
        <f>J36*L36%</f>
        <v>64030.5</v>
      </c>
      <c r="N36" s="69">
        <f>J36+M36</f>
        <v>419755.5</v>
      </c>
      <c r="O36" s="70"/>
    </row>
    <row r="37" spans="2:15">
      <c r="B37" s="71" t="s">
        <v>37</v>
      </c>
      <c r="C37" s="72"/>
      <c r="D37" s="72"/>
      <c r="E37" s="72"/>
      <c r="F37" s="72"/>
      <c r="G37" s="72"/>
      <c r="H37" s="72"/>
      <c r="I37" s="72"/>
      <c r="J37" s="72"/>
      <c r="K37" s="72"/>
      <c r="L37" s="72"/>
      <c r="M37" s="72"/>
      <c r="N37" s="72"/>
      <c r="O37" s="68"/>
    </row>
    <row r="38" spans="2:15" ht="56.4" customHeight="1">
      <c r="B38" s="6">
        <v>3</v>
      </c>
      <c r="C38" s="5" t="s">
        <v>38</v>
      </c>
      <c r="D38" s="63"/>
      <c r="E38" s="64"/>
      <c r="F38" s="57">
        <v>279</v>
      </c>
      <c r="G38" s="9">
        <v>1775</v>
      </c>
      <c r="H38" s="73">
        <v>1050</v>
      </c>
      <c r="I38" s="74"/>
      <c r="J38" s="67">
        <f>F38*H38</f>
        <v>292950</v>
      </c>
      <c r="K38" s="68"/>
      <c r="L38" s="11">
        <v>18</v>
      </c>
      <c r="M38" s="58">
        <f>J38*L38%</f>
        <v>52731</v>
      </c>
      <c r="N38" s="69">
        <f>J38+M38</f>
        <v>345681</v>
      </c>
      <c r="O38" s="70"/>
    </row>
    <row r="39" spans="2:15">
      <c r="B39" s="71" t="s">
        <v>39</v>
      </c>
      <c r="C39" s="72"/>
      <c r="D39" s="72"/>
      <c r="E39" s="72"/>
      <c r="F39" s="72"/>
      <c r="G39" s="72"/>
      <c r="H39" s="72"/>
      <c r="I39" s="72"/>
      <c r="J39" s="72"/>
      <c r="K39" s="72"/>
      <c r="L39" s="72"/>
      <c r="M39" s="72"/>
      <c r="N39" s="72"/>
      <c r="O39" s="68"/>
    </row>
    <row r="40" spans="2:15" ht="57" customHeight="1">
      <c r="B40" s="6">
        <v>4</v>
      </c>
      <c r="C40" s="13" t="s">
        <v>40</v>
      </c>
      <c r="D40" s="63"/>
      <c r="E40" s="64"/>
      <c r="F40" s="57">
        <v>279</v>
      </c>
      <c r="G40" s="14">
        <v>900</v>
      </c>
      <c r="H40" s="65">
        <v>550</v>
      </c>
      <c r="I40" s="66"/>
      <c r="J40" s="67">
        <f>F40*H40</f>
        <v>153450</v>
      </c>
      <c r="K40" s="68"/>
      <c r="L40" s="11">
        <v>18</v>
      </c>
      <c r="M40" s="58">
        <f>J40*L40%</f>
        <v>27621</v>
      </c>
      <c r="N40" s="69">
        <f>J40+M40</f>
        <v>181071</v>
      </c>
      <c r="O40" s="70"/>
    </row>
    <row r="41" spans="2:15">
      <c r="B41" s="71" t="s">
        <v>41</v>
      </c>
      <c r="C41" s="72"/>
      <c r="D41" s="72"/>
      <c r="E41" s="72"/>
      <c r="F41" s="72"/>
      <c r="G41" s="72"/>
      <c r="H41" s="72"/>
      <c r="I41" s="72"/>
      <c r="J41" s="72"/>
      <c r="K41" s="72"/>
      <c r="L41" s="72"/>
      <c r="M41" s="72"/>
      <c r="N41" s="72"/>
      <c r="O41" s="68"/>
    </row>
  </sheetData>
  <mergeCells count="64">
    <mergeCell ref="B24:J24"/>
    <mergeCell ref="K24:N24"/>
    <mergeCell ref="R24:V24"/>
    <mergeCell ref="B2:N2"/>
    <mergeCell ref="B3:N3"/>
    <mergeCell ref="B4:N4"/>
    <mergeCell ref="F6:M6"/>
    <mergeCell ref="B14:M14"/>
    <mergeCell ref="B17:D17"/>
    <mergeCell ref="B19:N19"/>
    <mergeCell ref="R19:V19"/>
    <mergeCell ref="B20:C20"/>
    <mergeCell ref="D20:N20"/>
    <mergeCell ref="B21:N23"/>
    <mergeCell ref="B25:D25"/>
    <mergeCell ref="E25:H25"/>
    <mergeCell ref="I25:L25"/>
    <mergeCell ref="M25:N25"/>
    <mergeCell ref="B26:D26"/>
    <mergeCell ref="E26:H26"/>
    <mergeCell ref="I26:L26"/>
    <mergeCell ref="M26:N26"/>
    <mergeCell ref="B27:D27"/>
    <mergeCell ref="E27:H27"/>
    <mergeCell ref="I27:L27"/>
    <mergeCell ref="M27:N27"/>
    <mergeCell ref="B28:D28"/>
    <mergeCell ref="E28:H28"/>
    <mergeCell ref="I28:L28"/>
    <mergeCell ref="M28:N28"/>
    <mergeCell ref="B29:D29"/>
    <mergeCell ref="E29:H29"/>
    <mergeCell ref="I29:L29"/>
    <mergeCell ref="M29:N29"/>
    <mergeCell ref="B30:D30"/>
    <mergeCell ref="E30:H30"/>
    <mergeCell ref="I30:L30"/>
    <mergeCell ref="M30:N30"/>
    <mergeCell ref="B31:P31"/>
    <mergeCell ref="B32:P32"/>
    <mergeCell ref="D33:E33"/>
    <mergeCell ref="H33:I33"/>
    <mergeCell ref="J33:K33"/>
    <mergeCell ref="N33:O33"/>
    <mergeCell ref="B39:O39"/>
    <mergeCell ref="D34:E34"/>
    <mergeCell ref="H34:I34"/>
    <mergeCell ref="J34:K34"/>
    <mergeCell ref="N34:O34"/>
    <mergeCell ref="B35:O35"/>
    <mergeCell ref="D36:E36"/>
    <mergeCell ref="H36:I36"/>
    <mergeCell ref="J36:K36"/>
    <mergeCell ref="N36:O36"/>
    <mergeCell ref="B37:O37"/>
    <mergeCell ref="D38:E38"/>
    <mergeCell ref="H38:I38"/>
    <mergeCell ref="J38:K38"/>
    <mergeCell ref="N38:O38"/>
    <mergeCell ref="D40:E40"/>
    <mergeCell ref="H40:I40"/>
    <mergeCell ref="J40:K40"/>
    <mergeCell ref="N40:O40"/>
    <mergeCell ref="B41:O41"/>
  </mergeCells>
  <hyperlinks>
    <hyperlink ref="M30" r:id="rId1" display="mailto:kanhu1971@gmail.com"/>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95"/>
  <sheetViews>
    <sheetView tabSelected="1" topLeftCell="A78" workbookViewId="0">
      <selection activeCell="R91" sqref="R91"/>
    </sheetView>
  </sheetViews>
  <sheetFormatPr defaultRowHeight="13.2"/>
  <cols>
    <col min="2" max="2" width="4.44140625" bestFit="1" customWidth="1"/>
    <col min="3" max="3" width="16.6640625" bestFit="1" customWidth="1"/>
    <col min="4" max="4" width="5.33203125" customWidth="1"/>
    <col min="5" max="5" width="6.6640625" customWidth="1"/>
    <col min="6" max="6" width="5" bestFit="1" customWidth="1"/>
    <col min="7" max="7" width="13" customWidth="1"/>
    <col min="8" max="8" width="3.77734375" customWidth="1"/>
    <col min="9" max="9" width="8.6640625" customWidth="1"/>
    <col min="10" max="10" width="6.44140625" customWidth="1"/>
    <col min="11" max="11" width="9.5546875" customWidth="1"/>
    <col min="12" max="12" width="5.6640625" bestFit="1" customWidth="1"/>
    <col min="13" max="13" width="16" customWidth="1"/>
    <col min="14" max="14" width="31.6640625" customWidth="1"/>
    <col min="15" max="15" width="25" hidden="1" customWidth="1"/>
    <col min="16" max="16" width="3.109375" customWidth="1"/>
    <col min="18" max="18" width="16.44140625" bestFit="1" customWidth="1"/>
    <col min="19" max="19" width="18.77734375" customWidth="1"/>
    <col min="20" max="20" width="21.6640625" customWidth="1"/>
  </cols>
  <sheetData>
    <row r="1" spans="2:22" ht="29.4" customHeight="1"/>
    <row r="2" spans="2:22" ht="31.8" customHeight="1">
      <c r="B2" s="106" t="s">
        <v>216</v>
      </c>
      <c r="C2" s="107"/>
      <c r="D2" s="107"/>
      <c r="E2" s="107"/>
      <c r="F2" s="107"/>
      <c r="G2" s="107"/>
      <c r="H2" s="107"/>
      <c r="I2" s="107"/>
      <c r="J2" s="107"/>
      <c r="K2" s="107"/>
      <c r="L2" s="107"/>
      <c r="M2" s="107"/>
      <c r="N2" s="108"/>
    </row>
    <row r="3" spans="2:22" ht="29.4">
      <c r="B3" s="109" t="s">
        <v>217</v>
      </c>
      <c r="C3" s="110"/>
      <c r="D3" s="110"/>
      <c r="E3" s="110"/>
      <c r="F3" s="110"/>
      <c r="G3" s="110"/>
      <c r="H3" s="110"/>
      <c r="I3" s="110"/>
      <c r="J3" s="110"/>
      <c r="K3" s="110"/>
      <c r="L3" s="110"/>
      <c r="M3" s="110"/>
      <c r="N3" s="111"/>
    </row>
    <row r="4" spans="2:22" ht="20.399999999999999">
      <c r="B4" s="112" t="s">
        <v>157</v>
      </c>
      <c r="C4" s="113"/>
      <c r="D4" s="113"/>
      <c r="E4" s="113"/>
      <c r="F4" s="113"/>
      <c r="G4" s="113"/>
      <c r="H4" s="113"/>
      <c r="I4" s="113"/>
      <c r="J4" s="113"/>
      <c r="K4" s="113"/>
      <c r="L4" s="113"/>
      <c r="M4" s="113"/>
      <c r="N4" s="114"/>
    </row>
    <row r="5" spans="2:22" ht="21.6" thickBot="1">
      <c r="C5" s="24"/>
      <c r="D5" s="24"/>
      <c r="E5" s="24"/>
      <c r="F5" s="24"/>
      <c r="G5" s="24"/>
    </row>
    <row r="6" spans="2:22" ht="18" thickBot="1">
      <c r="B6" s="180" t="s">
        <v>219</v>
      </c>
      <c r="C6" s="181"/>
      <c r="D6" s="181"/>
      <c r="E6" s="181"/>
      <c r="F6" s="181"/>
      <c r="G6" s="181"/>
      <c r="H6" s="181"/>
      <c r="I6" s="181"/>
      <c r="J6" s="181"/>
      <c r="K6" s="181"/>
      <c r="L6" s="181"/>
      <c r="M6" s="182"/>
      <c r="N6" s="28" t="s">
        <v>218</v>
      </c>
    </row>
    <row r="7" spans="2:22" ht="18.600000000000001" thickBot="1">
      <c r="C7" s="29"/>
      <c r="D7" s="30"/>
      <c r="E7" s="30"/>
      <c r="F7" s="29"/>
      <c r="G7" s="29"/>
    </row>
    <row r="8" spans="2:22" ht="18.600000000000001" thickBot="1">
      <c r="C8" s="29"/>
      <c r="D8" s="30"/>
      <c r="E8" s="30"/>
      <c r="F8" s="29"/>
      <c r="N8" s="183" t="s">
        <v>171</v>
      </c>
    </row>
    <row r="9" spans="2:22" ht="18">
      <c r="C9" s="29"/>
      <c r="D9" s="30"/>
      <c r="E9" s="30"/>
      <c r="F9" s="29"/>
      <c r="G9" s="32"/>
    </row>
    <row r="10" spans="2:22" ht="18">
      <c r="B10" s="33" t="s">
        <v>160</v>
      </c>
      <c r="C10" s="34"/>
      <c r="D10" s="35"/>
      <c r="E10" s="35"/>
      <c r="F10" s="36"/>
      <c r="G10" s="37"/>
      <c r="H10" s="38"/>
      <c r="I10" s="38"/>
      <c r="J10" s="38"/>
      <c r="K10" s="38"/>
      <c r="L10" s="38"/>
      <c r="M10" s="38"/>
      <c r="N10" s="39"/>
      <c r="T10" s="29"/>
      <c r="U10" s="29"/>
      <c r="V10" s="29"/>
    </row>
    <row r="11" spans="2:22" ht="18">
      <c r="B11" s="40" t="s">
        <v>161</v>
      </c>
      <c r="C11" s="41"/>
      <c r="D11" s="30"/>
      <c r="E11" s="30"/>
      <c r="F11" s="42"/>
      <c r="G11" s="43"/>
      <c r="N11" s="44"/>
      <c r="T11" s="29"/>
      <c r="U11" s="29"/>
      <c r="V11" s="29"/>
    </row>
    <row r="12" spans="2:22" ht="18">
      <c r="B12" s="40" t="s">
        <v>185</v>
      </c>
      <c r="C12" s="41"/>
      <c r="D12" s="30"/>
      <c r="E12" s="30"/>
      <c r="F12" s="42"/>
      <c r="G12" s="43"/>
      <c r="N12" s="44"/>
      <c r="T12" s="29"/>
      <c r="U12" s="29"/>
      <c r="V12" s="29"/>
    </row>
    <row r="13" spans="2:22" ht="18">
      <c r="B13" s="45" t="s">
        <v>163</v>
      </c>
      <c r="C13" s="46"/>
      <c r="D13" s="30"/>
      <c r="E13" s="30"/>
      <c r="F13" s="42"/>
      <c r="G13" s="43"/>
      <c r="N13" s="44"/>
      <c r="T13" s="47"/>
      <c r="U13" s="47"/>
      <c r="V13" s="29"/>
    </row>
    <row r="14" spans="2:22" ht="38.4" customHeight="1">
      <c r="B14" s="184" t="s">
        <v>186</v>
      </c>
      <c r="C14" s="185"/>
      <c r="D14" s="185"/>
      <c r="E14" s="185"/>
      <c r="F14" s="185"/>
      <c r="G14" s="185"/>
      <c r="H14" s="185"/>
      <c r="I14" s="185"/>
      <c r="J14" s="185"/>
      <c r="K14" s="185"/>
      <c r="L14" s="185"/>
      <c r="M14" s="185"/>
      <c r="N14" s="48"/>
      <c r="T14" s="29"/>
      <c r="U14" s="29"/>
      <c r="V14" s="29"/>
    </row>
    <row r="15" spans="2:22" ht="18" customHeight="1">
      <c r="B15" s="40" t="s">
        <v>187</v>
      </c>
      <c r="C15" s="41"/>
      <c r="D15" s="30"/>
      <c r="E15" s="30"/>
      <c r="F15" s="42"/>
      <c r="G15" s="43"/>
      <c r="N15" s="44"/>
      <c r="T15" s="47"/>
      <c r="U15" s="29"/>
      <c r="V15" s="29"/>
    </row>
    <row r="16" spans="2:22" ht="18" customHeight="1">
      <c r="B16" s="45" t="s">
        <v>188</v>
      </c>
      <c r="C16" s="46"/>
      <c r="D16" s="30"/>
      <c r="E16" s="30"/>
      <c r="F16" s="42"/>
      <c r="G16" s="43"/>
      <c r="N16" s="44"/>
      <c r="T16" s="47"/>
      <c r="U16" s="29"/>
      <c r="V16" s="29"/>
    </row>
    <row r="17" spans="2:22" ht="18" customHeight="1">
      <c r="B17" s="186" t="s">
        <v>189</v>
      </c>
      <c r="C17" s="187"/>
      <c r="D17" s="187"/>
      <c r="E17" s="187"/>
      <c r="F17" s="187"/>
      <c r="G17" s="51"/>
      <c r="H17" s="52"/>
      <c r="I17" s="52"/>
      <c r="J17" s="52"/>
      <c r="K17" s="52"/>
      <c r="L17" s="52"/>
      <c r="M17" s="52"/>
      <c r="N17" s="53"/>
      <c r="T17" s="47"/>
      <c r="U17" s="29"/>
      <c r="V17" s="29"/>
    </row>
    <row r="18" spans="2:22" ht="18" customHeight="1">
      <c r="B18" s="46"/>
      <c r="C18" s="46"/>
      <c r="D18" s="30"/>
      <c r="E18" s="30"/>
      <c r="F18" s="29"/>
      <c r="G18" s="32"/>
      <c r="T18" s="47"/>
      <c r="U18" s="29"/>
      <c r="V18" s="29"/>
    </row>
    <row r="19" spans="2:22" ht="36" customHeight="1">
      <c r="B19" s="88" t="s">
        <v>172</v>
      </c>
      <c r="C19" s="89"/>
      <c r="D19" s="89"/>
      <c r="E19" s="89"/>
      <c r="F19" s="89"/>
      <c r="G19" s="89"/>
      <c r="H19" s="89"/>
      <c r="I19" s="89"/>
      <c r="J19" s="89"/>
      <c r="K19" s="89"/>
      <c r="L19" s="89"/>
      <c r="M19" s="89"/>
      <c r="N19" s="90"/>
      <c r="R19" s="91"/>
      <c r="S19" s="91"/>
      <c r="T19" s="91"/>
      <c r="U19" s="91"/>
      <c r="V19" s="91"/>
    </row>
    <row r="20" spans="2:22" ht="22.8" customHeight="1">
      <c r="B20" s="92" t="s">
        <v>168</v>
      </c>
      <c r="C20" s="93"/>
      <c r="D20" s="94"/>
      <c r="E20" s="94"/>
      <c r="F20" s="94"/>
      <c r="G20" s="94"/>
      <c r="H20" s="94"/>
      <c r="I20" s="94"/>
      <c r="J20" s="94"/>
      <c r="K20" s="94"/>
      <c r="L20" s="94"/>
      <c r="M20" s="94"/>
      <c r="N20" s="94"/>
      <c r="R20" s="54"/>
      <c r="S20" s="54"/>
      <c r="T20" s="54"/>
      <c r="U20" s="54"/>
      <c r="V20" s="54"/>
    </row>
    <row r="21" spans="2:22" ht="17.399999999999999" customHeight="1">
      <c r="B21" s="95" t="s">
        <v>190</v>
      </c>
      <c r="C21" s="96"/>
      <c r="D21" s="96"/>
      <c r="E21" s="96"/>
      <c r="F21" s="96"/>
      <c r="G21" s="96"/>
      <c r="H21" s="96"/>
      <c r="I21" s="96"/>
      <c r="J21" s="96"/>
      <c r="K21" s="96"/>
      <c r="L21" s="96"/>
      <c r="M21" s="96"/>
      <c r="N21" s="97"/>
      <c r="R21" s="54"/>
      <c r="S21" s="54"/>
      <c r="T21" s="54"/>
      <c r="U21" s="54"/>
      <c r="V21" s="54"/>
    </row>
    <row r="22" spans="2:22" ht="21" customHeight="1">
      <c r="B22" s="98"/>
      <c r="C22" s="99"/>
      <c r="D22" s="99"/>
      <c r="E22" s="99"/>
      <c r="F22" s="99"/>
      <c r="G22" s="99"/>
      <c r="H22" s="99"/>
      <c r="I22" s="99"/>
      <c r="J22" s="99"/>
      <c r="K22" s="99"/>
      <c r="L22" s="99"/>
      <c r="M22" s="99"/>
      <c r="N22" s="100"/>
      <c r="R22" s="54"/>
      <c r="S22" s="54"/>
      <c r="T22" s="54"/>
      <c r="U22" s="54"/>
      <c r="V22" s="54"/>
    </row>
    <row r="23" spans="2:22" ht="21.6" customHeight="1">
      <c r="B23" s="101"/>
      <c r="C23" s="102"/>
      <c r="D23" s="102"/>
      <c r="E23" s="102"/>
      <c r="F23" s="102"/>
      <c r="G23" s="102"/>
      <c r="H23" s="102"/>
      <c r="I23" s="102"/>
      <c r="J23" s="102"/>
      <c r="K23" s="102"/>
      <c r="L23" s="102"/>
      <c r="M23" s="102"/>
      <c r="N23" s="103"/>
      <c r="R23" s="55"/>
      <c r="S23" s="56"/>
      <c r="T23" s="56"/>
      <c r="U23" s="56"/>
      <c r="V23" s="56"/>
    </row>
    <row r="24" spans="2:22" ht="17.25" customHeight="1">
      <c r="B24" s="214" t="s">
        <v>204</v>
      </c>
      <c r="C24" s="188"/>
      <c r="D24" s="188"/>
      <c r="E24" s="188"/>
      <c r="F24" s="188"/>
      <c r="G24" s="188"/>
      <c r="H24" s="188"/>
      <c r="I24" s="188"/>
      <c r="J24" s="188"/>
      <c r="K24" s="104" t="s">
        <v>0</v>
      </c>
      <c r="L24" s="104"/>
      <c r="M24" s="104"/>
      <c r="N24" s="104"/>
      <c r="R24" s="189"/>
      <c r="S24" s="189"/>
      <c r="T24" s="189"/>
      <c r="U24" s="189"/>
      <c r="V24" s="189"/>
    </row>
    <row r="25" spans="2:22" ht="17.25" customHeight="1">
      <c r="B25" s="82" t="s">
        <v>1</v>
      </c>
      <c r="C25" s="82"/>
      <c r="D25" s="82"/>
      <c r="E25" s="83" t="s">
        <v>2</v>
      </c>
      <c r="F25" s="84"/>
      <c r="G25" s="84"/>
      <c r="H25" s="85"/>
      <c r="I25" s="82" t="s">
        <v>3</v>
      </c>
      <c r="J25" s="82"/>
      <c r="K25" s="82"/>
      <c r="L25" s="82"/>
      <c r="M25" s="225" t="s">
        <v>211</v>
      </c>
      <c r="N25" s="84"/>
    </row>
    <row r="26" spans="2:22" ht="17.25" customHeight="1">
      <c r="B26" s="82" t="s">
        <v>5</v>
      </c>
      <c r="C26" s="82"/>
      <c r="D26" s="82"/>
      <c r="E26" s="83" t="s">
        <v>6</v>
      </c>
      <c r="F26" s="84"/>
      <c r="G26" s="84"/>
      <c r="H26" s="85"/>
      <c r="I26" s="82" t="s">
        <v>7</v>
      </c>
      <c r="J26" s="82"/>
      <c r="K26" s="82"/>
      <c r="L26" s="82"/>
      <c r="M26" s="83" t="s">
        <v>8</v>
      </c>
      <c r="N26" s="84"/>
    </row>
    <row r="27" spans="2:22" ht="17.25" customHeight="1">
      <c r="B27" s="82" t="s">
        <v>9</v>
      </c>
      <c r="C27" s="82"/>
      <c r="D27" s="82"/>
      <c r="E27" s="83" t="s">
        <v>10</v>
      </c>
      <c r="F27" s="84"/>
      <c r="G27" s="84"/>
      <c r="H27" s="85"/>
      <c r="I27" s="82" t="s">
        <v>11</v>
      </c>
      <c r="J27" s="82"/>
      <c r="K27" s="82"/>
      <c r="L27" s="82"/>
      <c r="M27" s="83" t="s">
        <v>8</v>
      </c>
      <c r="N27" s="84"/>
    </row>
    <row r="28" spans="2:22" ht="17.25" customHeight="1">
      <c r="B28" s="82" t="s">
        <v>12</v>
      </c>
      <c r="C28" s="82"/>
      <c r="D28" s="82"/>
      <c r="E28" s="83" t="s">
        <v>13</v>
      </c>
      <c r="F28" s="84"/>
      <c r="G28" s="84"/>
      <c r="H28" s="85"/>
      <c r="I28" s="82" t="s">
        <v>14</v>
      </c>
      <c r="J28" s="82"/>
      <c r="K28" s="82"/>
      <c r="L28" s="82"/>
      <c r="M28" s="190" t="s">
        <v>15</v>
      </c>
      <c r="N28" s="190"/>
    </row>
    <row r="29" spans="2:22" ht="17.25" customHeight="1">
      <c r="B29" s="82" t="s">
        <v>16</v>
      </c>
      <c r="C29" s="82"/>
      <c r="D29" s="82"/>
      <c r="E29" s="83" t="s">
        <v>17</v>
      </c>
      <c r="F29" s="84"/>
      <c r="G29" s="84"/>
      <c r="H29" s="85"/>
      <c r="I29" s="82" t="s">
        <v>18</v>
      </c>
      <c r="J29" s="82"/>
      <c r="K29" s="82"/>
      <c r="L29" s="82"/>
      <c r="M29" s="191">
        <v>7350840980</v>
      </c>
      <c r="N29" s="191"/>
    </row>
    <row r="30" spans="2:22" ht="17.25" customHeight="1">
      <c r="B30" s="82" t="s">
        <v>19</v>
      </c>
      <c r="C30" s="82"/>
      <c r="D30" s="82"/>
      <c r="E30" s="83" t="s">
        <v>20</v>
      </c>
      <c r="F30" s="84"/>
      <c r="G30" s="84"/>
      <c r="H30" s="85"/>
      <c r="I30" s="82" t="s">
        <v>21</v>
      </c>
      <c r="J30" s="82"/>
      <c r="K30" s="82"/>
      <c r="L30" s="82"/>
      <c r="M30" s="226" t="s">
        <v>220</v>
      </c>
      <c r="N30" s="190"/>
    </row>
    <row r="31" spans="2:22" ht="22.5" customHeight="1">
      <c r="B31" s="75"/>
      <c r="C31" s="76"/>
      <c r="D31" s="76"/>
      <c r="E31" s="76"/>
      <c r="F31" s="76"/>
      <c r="G31" s="76"/>
      <c r="H31" s="76"/>
      <c r="I31" s="76"/>
      <c r="J31" s="76"/>
      <c r="K31" s="76"/>
      <c r="L31" s="76"/>
      <c r="M31" s="76"/>
      <c r="N31" s="76"/>
      <c r="O31" s="76"/>
      <c r="P31" s="76"/>
    </row>
    <row r="32" spans="2:22" ht="23.4" customHeight="1">
      <c r="B32" s="192" t="s">
        <v>191</v>
      </c>
      <c r="C32" s="77"/>
      <c r="D32" s="77"/>
      <c r="E32" s="77"/>
      <c r="F32" s="77"/>
      <c r="G32" s="77"/>
      <c r="H32" s="77"/>
      <c r="I32" s="77"/>
      <c r="J32" s="77"/>
      <c r="K32" s="77"/>
      <c r="L32" s="77"/>
      <c r="M32" s="77"/>
      <c r="N32" s="77"/>
      <c r="O32" s="77"/>
      <c r="P32" s="77"/>
    </row>
    <row r="33" spans="2:20" ht="39.75" customHeight="1">
      <c r="B33" s="1" t="s">
        <v>24</v>
      </c>
      <c r="C33" s="2" t="s">
        <v>25</v>
      </c>
      <c r="D33" s="78" t="s">
        <v>26</v>
      </c>
      <c r="E33" s="79"/>
      <c r="F33" s="4" t="s">
        <v>27</v>
      </c>
      <c r="G33" s="4" t="s">
        <v>28</v>
      </c>
      <c r="H33" s="78" t="s">
        <v>29</v>
      </c>
      <c r="I33" s="79"/>
      <c r="J33" s="80" t="s">
        <v>30</v>
      </c>
      <c r="K33" s="81"/>
      <c r="L33" s="5" t="s">
        <v>31</v>
      </c>
      <c r="M33" s="5" t="s">
        <v>32</v>
      </c>
      <c r="N33" s="80" t="s">
        <v>33</v>
      </c>
      <c r="O33" s="81"/>
    </row>
    <row r="34" spans="2:20" ht="47.4" customHeight="1">
      <c r="B34" s="6">
        <v>1</v>
      </c>
      <c r="C34" s="7" t="s">
        <v>34</v>
      </c>
      <c r="D34" s="63"/>
      <c r="E34" s="64"/>
      <c r="F34" s="57">
        <v>279</v>
      </c>
      <c r="G34" s="9">
        <v>2650</v>
      </c>
      <c r="H34" s="73">
        <v>1590</v>
      </c>
      <c r="I34" s="74"/>
      <c r="J34" s="67">
        <f>F34*H34</f>
        <v>443610</v>
      </c>
      <c r="K34" s="68"/>
      <c r="L34" s="11">
        <v>18</v>
      </c>
      <c r="M34" s="58">
        <f>J34*L34%</f>
        <v>79849.8</v>
      </c>
      <c r="N34" s="69">
        <f>J34+M34</f>
        <v>523459.8</v>
      </c>
      <c r="O34" s="70"/>
      <c r="R34" s="193"/>
      <c r="S34" s="193"/>
      <c r="T34" s="193"/>
    </row>
    <row r="35" spans="2:20" ht="17.7" customHeight="1">
      <c r="B35" s="71" t="s">
        <v>35</v>
      </c>
      <c r="C35" s="72"/>
      <c r="D35" s="72"/>
      <c r="E35" s="72"/>
      <c r="F35" s="72"/>
      <c r="G35" s="72"/>
      <c r="H35" s="72"/>
      <c r="I35" s="72"/>
      <c r="J35" s="72"/>
      <c r="K35" s="72"/>
      <c r="L35" s="72"/>
      <c r="M35" s="72"/>
      <c r="N35" s="72"/>
      <c r="O35" s="68"/>
    </row>
    <row r="36" spans="2:20" ht="52.2" customHeight="1">
      <c r="B36" s="6">
        <v>2</v>
      </c>
      <c r="C36" s="7" t="s">
        <v>36</v>
      </c>
      <c r="D36" s="63"/>
      <c r="E36" s="64"/>
      <c r="F36" s="57">
        <v>279</v>
      </c>
      <c r="G36" s="9">
        <v>2275</v>
      </c>
      <c r="H36" s="73">
        <v>1275</v>
      </c>
      <c r="I36" s="74"/>
      <c r="J36" s="67">
        <f>F36*H36</f>
        <v>355725</v>
      </c>
      <c r="K36" s="68"/>
      <c r="L36" s="11">
        <v>18</v>
      </c>
      <c r="M36" s="58">
        <f>J36*L36%</f>
        <v>64030.5</v>
      </c>
      <c r="N36" s="69">
        <f>J36+M36</f>
        <v>419755.5</v>
      </c>
      <c r="O36" s="70"/>
      <c r="R36" s="193"/>
      <c r="S36" s="193"/>
      <c r="T36" s="193"/>
    </row>
    <row r="37" spans="2:20" ht="17.7" customHeight="1">
      <c r="B37" s="71" t="s">
        <v>37</v>
      </c>
      <c r="C37" s="72"/>
      <c r="D37" s="72"/>
      <c r="E37" s="72"/>
      <c r="F37" s="72"/>
      <c r="G37" s="72"/>
      <c r="H37" s="72"/>
      <c r="I37" s="72"/>
      <c r="J37" s="72"/>
      <c r="K37" s="72"/>
      <c r="L37" s="72"/>
      <c r="M37" s="72"/>
      <c r="N37" s="72"/>
      <c r="O37" s="68"/>
    </row>
    <row r="38" spans="2:20" ht="47.4" customHeight="1">
      <c r="B38" s="6">
        <v>3</v>
      </c>
      <c r="C38" s="5" t="s">
        <v>38</v>
      </c>
      <c r="D38" s="63"/>
      <c r="E38" s="64"/>
      <c r="F38" s="57">
        <v>279</v>
      </c>
      <c r="G38" s="9">
        <v>1775</v>
      </c>
      <c r="H38" s="73">
        <v>1050</v>
      </c>
      <c r="I38" s="74"/>
      <c r="J38" s="67">
        <f>F38*H38</f>
        <v>292950</v>
      </c>
      <c r="K38" s="68"/>
      <c r="L38" s="11">
        <v>18</v>
      </c>
      <c r="M38" s="58">
        <f>J38*L38%</f>
        <v>52731</v>
      </c>
      <c r="N38" s="69">
        <f>J38+M38</f>
        <v>345681</v>
      </c>
      <c r="O38" s="70"/>
      <c r="R38" s="193"/>
      <c r="S38" s="193"/>
      <c r="T38" s="193"/>
    </row>
    <row r="39" spans="2:20" ht="17.7" customHeight="1">
      <c r="B39" s="71" t="s">
        <v>39</v>
      </c>
      <c r="C39" s="72"/>
      <c r="D39" s="72"/>
      <c r="E39" s="72"/>
      <c r="F39" s="72"/>
      <c r="G39" s="72"/>
      <c r="H39" s="72"/>
      <c r="I39" s="72"/>
      <c r="J39" s="72"/>
      <c r="K39" s="72"/>
      <c r="L39" s="72"/>
      <c r="M39" s="72"/>
      <c r="N39" s="72"/>
      <c r="O39" s="68"/>
    </row>
    <row r="40" spans="2:20" ht="41.4" customHeight="1">
      <c r="B40" s="6">
        <v>4</v>
      </c>
      <c r="C40" s="13" t="s">
        <v>40</v>
      </c>
      <c r="D40" s="63"/>
      <c r="E40" s="64"/>
      <c r="F40" s="57">
        <v>279</v>
      </c>
      <c r="G40" s="14">
        <v>900</v>
      </c>
      <c r="H40" s="65">
        <v>550</v>
      </c>
      <c r="I40" s="66"/>
      <c r="J40" s="67">
        <f>F40*H40</f>
        <v>153450</v>
      </c>
      <c r="K40" s="68"/>
      <c r="L40" s="11">
        <v>18</v>
      </c>
      <c r="M40" s="58">
        <f>J40*L40%</f>
        <v>27621</v>
      </c>
      <c r="N40" s="69">
        <f>J40+M40</f>
        <v>181071</v>
      </c>
      <c r="O40" s="70"/>
      <c r="R40" s="193"/>
      <c r="S40" s="193"/>
      <c r="T40" s="193"/>
    </row>
    <row r="41" spans="2:20" ht="17.7" customHeight="1">
      <c r="B41" s="71" t="s">
        <v>41</v>
      </c>
      <c r="C41" s="72"/>
      <c r="D41" s="72"/>
      <c r="E41" s="72"/>
      <c r="F41" s="72"/>
      <c r="G41" s="72"/>
      <c r="H41" s="72"/>
      <c r="I41" s="72"/>
      <c r="J41" s="72"/>
      <c r="K41" s="72"/>
      <c r="L41" s="72"/>
      <c r="M41" s="72"/>
      <c r="N41" s="72"/>
      <c r="O41" s="68"/>
    </row>
    <row r="42" spans="2:20" ht="49.8" customHeight="1">
      <c r="B42" s="6">
        <v>5</v>
      </c>
      <c r="C42" s="7" t="s">
        <v>42</v>
      </c>
      <c r="D42" s="140"/>
      <c r="E42" s="141"/>
      <c r="F42" s="57">
        <v>279</v>
      </c>
      <c r="G42" s="14">
        <v>825</v>
      </c>
      <c r="H42" s="194">
        <v>460</v>
      </c>
      <c r="I42" s="195"/>
      <c r="J42" s="67">
        <f>F42*H42</f>
        <v>128340</v>
      </c>
      <c r="K42" s="68"/>
      <c r="L42" s="11">
        <v>18</v>
      </c>
      <c r="M42" s="58">
        <f>J42*L42%</f>
        <v>23101.200000000001</v>
      </c>
      <c r="N42" s="69">
        <f>J42+M42</f>
        <v>151441.20000000001</v>
      </c>
      <c r="O42" s="70"/>
      <c r="R42" s="193"/>
      <c r="S42" s="193"/>
      <c r="T42" s="193"/>
    </row>
    <row r="43" spans="2:20">
      <c r="B43" s="71" t="s">
        <v>45</v>
      </c>
      <c r="C43" s="72"/>
      <c r="D43" s="72"/>
      <c r="E43" s="72"/>
      <c r="F43" s="72"/>
      <c r="G43" s="72"/>
      <c r="H43" s="72"/>
      <c r="I43" s="72"/>
      <c r="J43" s="72"/>
      <c r="K43" s="68"/>
    </row>
    <row r="44" spans="2:20">
      <c r="B44" s="122"/>
      <c r="C44" s="122"/>
      <c r="D44" s="122"/>
      <c r="E44" s="122"/>
      <c r="F44" s="122"/>
      <c r="G44" s="122"/>
      <c r="H44" s="122"/>
      <c r="I44" s="122"/>
      <c r="J44" s="123"/>
      <c r="K44" s="18"/>
    </row>
    <row r="45" spans="2:20" ht="18.600000000000001">
      <c r="B45" s="192" t="s">
        <v>192</v>
      </c>
      <c r="C45" s="124"/>
      <c r="D45" s="124"/>
      <c r="E45" s="124"/>
      <c r="F45" s="124"/>
      <c r="G45" s="124"/>
      <c r="H45" s="124"/>
      <c r="I45" s="124"/>
      <c r="J45" s="124"/>
      <c r="K45" s="124"/>
      <c r="L45" s="124"/>
    </row>
    <row r="46" spans="2:20" ht="51.6" customHeight="1">
      <c r="B46" s="6">
        <v>6</v>
      </c>
      <c r="C46" s="196" t="s">
        <v>49</v>
      </c>
      <c r="D46" s="197"/>
      <c r="E46" s="197"/>
      <c r="F46" s="8">
        <v>291</v>
      </c>
      <c r="G46" s="22">
        <v>4500</v>
      </c>
      <c r="H46" s="198">
        <v>2510</v>
      </c>
      <c r="I46" s="198"/>
      <c r="J46" s="67">
        <f>F46*H46</f>
        <v>730410</v>
      </c>
      <c r="K46" s="68"/>
      <c r="L46" s="11">
        <v>18</v>
      </c>
      <c r="M46" s="58">
        <f>J46*L46%</f>
        <v>131473.79999999999</v>
      </c>
      <c r="N46" s="69">
        <f>J46+M46</f>
        <v>861883.8</v>
      </c>
      <c r="O46" s="70"/>
      <c r="R46" s="193"/>
      <c r="S46" s="193"/>
      <c r="T46" s="193"/>
    </row>
    <row r="47" spans="2:20">
      <c r="B47" s="71" t="s">
        <v>53</v>
      </c>
      <c r="C47" s="72"/>
      <c r="D47" s="199"/>
      <c r="E47" s="199"/>
      <c r="F47" s="72"/>
      <c r="G47" s="72"/>
      <c r="H47" s="199"/>
      <c r="I47" s="199"/>
      <c r="J47" s="199"/>
      <c r="K47" s="200"/>
    </row>
    <row r="48" spans="2:20" ht="55.2" customHeight="1">
      <c r="B48" s="6">
        <v>7</v>
      </c>
      <c r="C48" s="7" t="s">
        <v>54</v>
      </c>
      <c r="D48" s="140"/>
      <c r="E48" s="141"/>
      <c r="F48" s="8">
        <v>291</v>
      </c>
      <c r="G48" s="9">
        <v>1675</v>
      </c>
      <c r="H48" s="150">
        <v>1020</v>
      </c>
      <c r="I48" s="152"/>
      <c r="J48" s="67">
        <f>F48*H48</f>
        <v>296820</v>
      </c>
      <c r="K48" s="68"/>
      <c r="L48" s="11">
        <v>18</v>
      </c>
      <c r="M48" s="58">
        <f>J48*L48%</f>
        <v>53427.6</v>
      </c>
      <c r="N48" s="69">
        <f>J48+M48</f>
        <v>350247.6</v>
      </c>
      <c r="O48" s="70"/>
      <c r="R48" s="193"/>
      <c r="S48" s="193"/>
      <c r="T48" s="193"/>
    </row>
    <row r="49" spans="2:20">
      <c r="B49" s="71" t="s">
        <v>57</v>
      </c>
      <c r="C49" s="72"/>
      <c r="D49" s="72"/>
      <c r="E49" s="72"/>
      <c r="F49" s="72"/>
      <c r="G49" s="72"/>
      <c r="H49" s="72"/>
      <c r="I49" s="72"/>
      <c r="J49" s="72"/>
      <c r="K49" s="68"/>
    </row>
    <row r="50" spans="2:20" ht="52.2" customHeight="1">
      <c r="B50" s="6">
        <v>8</v>
      </c>
      <c r="C50" s="5" t="s">
        <v>58</v>
      </c>
      <c r="D50" s="140"/>
      <c r="E50" s="141"/>
      <c r="F50" s="8">
        <v>291</v>
      </c>
      <c r="G50" s="14">
        <v>625</v>
      </c>
      <c r="H50" s="194">
        <v>385</v>
      </c>
      <c r="I50" s="195"/>
      <c r="J50" s="67">
        <f>F50*H50</f>
        <v>112035</v>
      </c>
      <c r="K50" s="68"/>
      <c r="L50" s="11">
        <v>18</v>
      </c>
      <c r="M50" s="58">
        <f>J50*L50%</f>
        <v>20166.3</v>
      </c>
      <c r="N50" s="69">
        <f>J50+M50</f>
        <v>132201.29999999999</v>
      </c>
      <c r="O50" s="70"/>
      <c r="R50" s="193"/>
      <c r="S50" s="193"/>
      <c r="T50" s="193"/>
    </row>
    <row r="51" spans="2:20">
      <c r="B51" s="71" t="s">
        <v>61</v>
      </c>
      <c r="C51" s="72"/>
      <c r="D51" s="72"/>
      <c r="E51" s="72"/>
      <c r="F51" s="72"/>
      <c r="G51" s="72"/>
      <c r="H51" s="72"/>
      <c r="I51" s="72"/>
      <c r="J51" s="72"/>
      <c r="K51" s="68"/>
    </row>
    <row r="52" spans="2:20" ht="18.600000000000001">
      <c r="B52" s="192" t="s">
        <v>193</v>
      </c>
      <c r="C52" s="124"/>
      <c r="D52" s="124"/>
      <c r="E52" s="124"/>
      <c r="F52" s="124"/>
      <c r="G52" s="124"/>
      <c r="H52" s="124"/>
      <c r="I52" s="124"/>
      <c r="J52" s="124"/>
      <c r="K52" s="124"/>
      <c r="L52" s="124"/>
    </row>
    <row r="53" spans="2:20" ht="46.2" customHeight="1">
      <c r="B53" s="6">
        <v>9</v>
      </c>
      <c r="C53" s="23" t="s">
        <v>65</v>
      </c>
      <c r="D53" s="197"/>
      <c r="E53" s="197"/>
      <c r="F53" s="8">
        <v>357</v>
      </c>
      <c r="G53" s="22">
        <v>9750</v>
      </c>
      <c r="H53" s="198">
        <v>5660</v>
      </c>
      <c r="I53" s="198"/>
      <c r="J53" s="67">
        <f>F53*H53</f>
        <v>2020620</v>
      </c>
      <c r="K53" s="68"/>
      <c r="L53" s="11">
        <v>18</v>
      </c>
      <c r="M53" s="58">
        <f>J53*L53%</f>
        <v>363711.6</v>
      </c>
      <c r="N53" s="69">
        <f>J53+M53</f>
        <v>2384331.6</v>
      </c>
      <c r="O53" s="70"/>
      <c r="R53" s="193"/>
      <c r="S53" s="193"/>
      <c r="T53" s="193"/>
    </row>
    <row r="54" spans="2:20">
      <c r="B54" s="71" t="s">
        <v>69</v>
      </c>
      <c r="C54" s="72"/>
      <c r="D54" s="199"/>
      <c r="E54" s="199"/>
      <c r="F54" s="72"/>
      <c r="G54" s="72"/>
      <c r="H54" s="199"/>
      <c r="I54" s="199"/>
      <c r="J54" s="199"/>
      <c r="K54" s="200"/>
    </row>
    <row r="55" spans="2:20" ht="51" customHeight="1">
      <c r="B55" s="6">
        <v>10</v>
      </c>
      <c r="C55" s="7" t="s">
        <v>70</v>
      </c>
      <c r="D55" s="140"/>
      <c r="E55" s="141"/>
      <c r="F55" s="8">
        <v>357</v>
      </c>
      <c r="G55" s="9">
        <v>4050</v>
      </c>
      <c r="H55" s="150">
        <v>2320</v>
      </c>
      <c r="I55" s="152"/>
      <c r="J55" s="67">
        <f>F55*H55</f>
        <v>828240</v>
      </c>
      <c r="K55" s="68"/>
      <c r="L55" s="11">
        <v>18</v>
      </c>
      <c r="M55" s="58">
        <f>J55*L55%</f>
        <v>149083.19999999998</v>
      </c>
      <c r="N55" s="69">
        <f>J55+M55</f>
        <v>977323.2</v>
      </c>
      <c r="O55" s="70"/>
      <c r="R55" s="193"/>
      <c r="S55" s="193"/>
      <c r="T55" s="193"/>
    </row>
    <row r="56" spans="2:20">
      <c r="B56" s="71" t="s">
        <v>74</v>
      </c>
      <c r="C56" s="72"/>
      <c r="D56" s="72"/>
      <c r="E56" s="72"/>
      <c r="F56" s="72"/>
      <c r="G56" s="72"/>
      <c r="H56" s="72"/>
      <c r="I56" s="72"/>
      <c r="J56" s="72"/>
      <c r="K56" s="68"/>
    </row>
    <row r="57" spans="2:20" ht="51" customHeight="1">
      <c r="B57" s="6">
        <v>11</v>
      </c>
      <c r="C57" s="7" t="s">
        <v>75</v>
      </c>
      <c r="D57" s="140"/>
      <c r="E57" s="141"/>
      <c r="F57" s="8">
        <v>357</v>
      </c>
      <c r="G57" s="9">
        <v>1625</v>
      </c>
      <c r="H57" s="194">
        <v>930</v>
      </c>
      <c r="I57" s="195"/>
      <c r="J57" s="67">
        <f>F57*H57</f>
        <v>332010</v>
      </c>
      <c r="K57" s="68"/>
      <c r="L57" s="11">
        <v>18</v>
      </c>
      <c r="M57" s="58">
        <f>J57*L57%</f>
        <v>59761.799999999996</v>
      </c>
      <c r="N57" s="69">
        <f>J57+M57</f>
        <v>391771.8</v>
      </c>
      <c r="O57" s="70"/>
      <c r="R57" s="193"/>
      <c r="S57" s="193"/>
      <c r="T57" s="193"/>
    </row>
    <row r="58" spans="2:20">
      <c r="B58" s="71" t="s">
        <v>78</v>
      </c>
      <c r="C58" s="72"/>
      <c r="D58" s="72"/>
      <c r="E58" s="72"/>
      <c r="F58" s="72"/>
      <c r="G58" s="72"/>
      <c r="H58" s="72"/>
      <c r="I58" s="72"/>
      <c r="J58" s="72"/>
      <c r="K58" s="68"/>
    </row>
    <row r="59" spans="2:20" ht="48" customHeight="1">
      <c r="B59" s="6">
        <v>12</v>
      </c>
      <c r="C59" s="5" t="s">
        <v>79</v>
      </c>
      <c r="D59" s="140"/>
      <c r="E59" s="141"/>
      <c r="F59" s="8">
        <v>357</v>
      </c>
      <c r="G59" s="9">
        <v>1175</v>
      </c>
      <c r="H59" s="194">
        <v>715</v>
      </c>
      <c r="I59" s="195"/>
      <c r="J59" s="67">
        <f>F59*H59</f>
        <v>255255</v>
      </c>
      <c r="K59" s="68"/>
      <c r="L59" s="11">
        <v>18</v>
      </c>
      <c r="M59" s="58">
        <f>J59*L59%</f>
        <v>45945.9</v>
      </c>
      <c r="N59" s="69">
        <f>J59+M59</f>
        <v>301200.90000000002</v>
      </c>
      <c r="O59" s="70"/>
      <c r="R59" s="193"/>
      <c r="S59" s="193"/>
      <c r="T59" s="193"/>
    </row>
    <row r="60" spans="2:20">
      <c r="B60" s="71" t="s">
        <v>82</v>
      </c>
      <c r="C60" s="72"/>
      <c r="D60" s="72"/>
      <c r="E60" s="72"/>
      <c r="F60" s="72"/>
      <c r="G60" s="72"/>
      <c r="H60" s="72"/>
      <c r="I60" s="72"/>
      <c r="J60" s="72"/>
      <c r="K60" s="68"/>
    </row>
    <row r="61" spans="2:20" ht="48" customHeight="1">
      <c r="B61" s="6">
        <v>13</v>
      </c>
      <c r="C61" s="13" t="s">
        <v>83</v>
      </c>
      <c r="D61" s="140"/>
      <c r="E61" s="141"/>
      <c r="F61" s="8">
        <v>57</v>
      </c>
      <c r="G61" s="9">
        <v>1375</v>
      </c>
      <c r="H61" s="194">
        <v>835</v>
      </c>
      <c r="I61" s="195"/>
      <c r="J61" s="67">
        <f>F61*H61</f>
        <v>47595</v>
      </c>
      <c r="K61" s="68"/>
      <c r="L61" s="11">
        <v>18</v>
      </c>
      <c r="M61" s="58">
        <f>J61*L61%</f>
        <v>8567.1</v>
      </c>
      <c r="N61" s="69">
        <f>J61+M61</f>
        <v>56162.1</v>
      </c>
      <c r="O61" s="70"/>
      <c r="R61" s="193"/>
      <c r="S61" s="193"/>
      <c r="T61" s="193"/>
    </row>
    <row r="62" spans="2:20" ht="13.2" customHeight="1">
      <c r="B62" s="71" t="s">
        <v>84</v>
      </c>
      <c r="C62" s="72"/>
      <c r="D62" s="72"/>
      <c r="E62" s="72"/>
      <c r="F62" s="72"/>
      <c r="G62" s="72"/>
      <c r="H62" s="72"/>
      <c r="I62" s="72"/>
      <c r="J62" s="72"/>
      <c r="K62" s="68"/>
    </row>
    <row r="63" spans="2:20" ht="21.6" customHeight="1">
      <c r="B63" s="201" t="s">
        <v>205</v>
      </c>
      <c r="C63" s="201"/>
      <c r="D63" s="201"/>
      <c r="E63" s="201"/>
      <c r="F63" s="201"/>
      <c r="G63" s="201"/>
      <c r="H63" s="201"/>
      <c r="I63" s="201"/>
      <c r="J63" s="201"/>
      <c r="K63" s="201"/>
      <c r="L63" s="201"/>
      <c r="M63" s="202"/>
      <c r="N63" s="202"/>
    </row>
    <row r="64" spans="2:20" ht="55.2" customHeight="1">
      <c r="B64" s="6">
        <v>14</v>
      </c>
      <c r="C64" s="10" t="s">
        <v>88</v>
      </c>
      <c r="D64" s="218"/>
      <c r="E64" s="219"/>
      <c r="F64" s="8">
        <v>15</v>
      </c>
      <c r="G64" s="9">
        <v>7800</v>
      </c>
      <c r="H64" s="216">
        <v>4520</v>
      </c>
      <c r="I64" s="217"/>
      <c r="J64" s="67">
        <f>F64*H64</f>
        <v>67800</v>
      </c>
      <c r="K64" s="68"/>
      <c r="L64" s="11">
        <v>18</v>
      </c>
      <c r="M64" s="58">
        <f>J64*L64%</f>
        <v>12204</v>
      </c>
      <c r="N64" s="69">
        <f>J64+M64</f>
        <v>80004</v>
      </c>
      <c r="O64" s="70"/>
      <c r="R64" s="193"/>
      <c r="S64" s="193"/>
      <c r="T64" s="193"/>
    </row>
    <row r="65" spans="2:20" ht="13.2" customHeight="1">
      <c r="B65" s="71" t="s">
        <v>89</v>
      </c>
      <c r="C65" s="72"/>
      <c r="D65" s="72"/>
      <c r="E65" s="72"/>
      <c r="F65" s="72"/>
      <c r="G65" s="72"/>
      <c r="H65" s="72"/>
      <c r="I65" s="72"/>
      <c r="J65" s="72"/>
      <c r="K65" s="68"/>
    </row>
    <row r="66" spans="2:20" ht="21.6" customHeight="1">
      <c r="B66" s="201" t="s">
        <v>194</v>
      </c>
      <c r="C66" s="201"/>
      <c r="D66" s="201"/>
      <c r="E66" s="201"/>
      <c r="F66" s="201"/>
      <c r="G66" s="201"/>
      <c r="H66" s="201"/>
      <c r="I66" s="201"/>
      <c r="J66" s="201"/>
      <c r="K66" s="201"/>
      <c r="L66" s="201"/>
      <c r="M66" s="202"/>
      <c r="N66" s="202"/>
    </row>
    <row r="67" spans="2:20" ht="55.2" customHeight="1">
      <c r="B67" s="6">
        <v>15</v>
      </c>
      <c r="C67" s="23" t="s">
        <v>92</v>
      </c>
      <c r="D67" s="218"/>
      <c r="E67" s="219"/>
      <c r="F67" s="8">
        <v>248</v>
      </c>
      <c r="G67" s="22">
        <v>1850</v>
      </c>
      <c r="H67" s="216">
        <v>1140</v>
      </c>
      <c r="I67" s="217"/>
      <c r="J67" s="67">
        <f>F67*H67</f>
        <v>282720</v>
      </c>
      <c r="K67" s="68"/>
      <c r="L67" s="11">
        <v>18</v>
      </c>
      <c r="M67" s="58">
        <f>J67*L67%</f>
        <v>50889.599999999999</v>
      </c>
      <c r="N67" s="69">
        <f>J67+M67</f>
        <v>333609.59999999998</v>
      </c>
      <c r="O67" s="70"/>
      <c r="R67" s="193"/>
      <c r="S67" s="193"/>
      <c r="T67" s="193"/>
    </row>
    <row r="68" spans="2:20" ht="13.2" customHeight="1">
      <c r="B68" s="215" t="s">
        <v>95</v>
      </c>
      <c r="C68" s="199"/>
      <c r="D68" s="199"/>
      <c r="E68" s="199"/>
      <c r="F68" s="199"/>
      <c r="G68" s="199"/>
      <c r="H68" s="199"/>
      <c r="I68" s="199"/>
      <c r="J68" s="199"/>
      <c r="K68" s="200"/>
    </row>
    <row r="69" spans="2:20" ht="46.2" customHeight="1">
      <c r="B69" s="6">
        <v>16</v>
      </c>
      <c r="C69" s="13" t="s">
        <v>96</v>
      </c>
      <c r="D69" s="140"/>
      <c r="E69" s="141"/>
      <c r="F69" s="8">
        <v>124</v>
      </c>
      <c r="G69" s="9">
        <v>1050</v>
      </c>
      <c r="H69" s="194">
        <v>600</v>
      </c>
      <c r="I69" s="195"/>
      <c r="J69" s="67">
        <f>F69*H69</f>
        <v>74400</v>
      </c>
      <c r="K69" s="68"/>
      <c r="L69" s="11">
        <v>18</v>
      </c>
      <c r="M69" s="58">
        <f>J69*L69%</f>
        <v>13392</v>
      </c>
      <c r="N69" s="69">
        <f>J69+M69</f>
        <v>87792</v>
      </c>
      <c r="O69" s="70"/>
      <c r="R69" s="193"/>
      <c r="S69" s="193"/>
      <c r="T69" s="193"/>
    </row>
    <row r="70" spans="2:20">
      <c r="B70" s="203" t="s">
        <v>97</v>
      </c>
      <c r="C70" s="204"/>
      <c r="D70" s="204"/>
      <c r="E70" s="204"/>
      <c r="F70" s="204"/>
      <c r="G70" s="204"/>
      <c r="H70" s="204"/>
      <c r="I70" s="204"/>
      <c r="J70" s="204"/>
      <c r="K70" s="205"/>
    </row>
    <row r="71" spans="2:20" ht="61.2" customHeight="1">
      <c r="B71" s="223" t="s">
        <v>100</v>
      </c>
      <c r="C71" s="197"/>
      <c r="D71" s="223" t="s">
        <v>209</v>
      </c>
      <c r="E71" s="197"/>
      <c r="F71" s="197"/>
      <c r="G71" s="197"/>
      <c r="H71" s="223" t="s">
        <v>208</v>
      </c>
      <c r="I71" s="197"/>
      <c r="J71" s="197"/>
      <c r="K71" s="197"/>
      <c r="L71" s="223" t="s">
        <v>207</v>
      </c>
      <c r="M71" s="197"/>
      <c r="N71" s="221" t="s">
        <v>206</v>
      </c>
      <c r="R71" s="193"/>
      <c r="S71" s="193"/>
      <c r="T71" s="193"/>
    </row>
    <row r="72" spans="2:20" ht="29.4" customHeight="1">
      <c r="B72" s="224" t="s">
        <v>210</v>
      </c>
      <c r="C72" s="206"/>
      <c r="D72" s="206"/>
      <c r="E72" s="206"/>
      <c r="F72" s="206"/>
      <c r="G72" s="206"/>
      <c r="H72" s="206"/>
      <c r="I72" s="206"/>
      <c r="J72" s="206"/>
      <c r="K72" s="206"/>
      <c r="L72" s="206"/>
      <c r="M72" s="206"/>
      <c r="N72" s="206"/>
    </row>
    <row r="73" spans="2:20" ht="29.4" customHeight="1">
      <c r="B73" s="227"/>
      <c r="C73" s="228"/>
      <c r="D73" s="228"/>
      <c r="E73" s="228"/>
      <c r="F73" s="228"/>
      <c r="G73" s="228"/>
      <c r="H73" s="228"/>
      <c r="I73" s="228"/>
      <c r="J73" s="228"/>
      <c r="K73" s="228"/>
      <c r="L73" s="228"/>
      <c r="M73" s="228"/>
      <c r="N73" s="228"/>
    </row>
    <row r="74" spans="2:20" ht="29.4" customHeight="1">
      <c r="B74" s="227"/>
      <c r="C74" s="228"/>
      <c r="D74" s="228"/>
      <c r="E74" s="228"/>
      <c r="F74" s="228"/>
      <c r="G74" s="228"/>
      <c r="H74" s="228"/>
      <c r="I74" s="228"/>
      <c r="J74" s="228"/>
      <c r="K74" s="228"/>
      <c r="L74" s="228"/>
      <c r="M74" s="228"/>
      <c r="N74" s="228"/>
    </row>
    <row r="75" spans="2:20" ht="29.4" customHeight="1">
      <c r="B75" s="227"/>
      <c r="C75" s="228"/>
      <c r="D75" s="228"/>
      <c r="E75" s="228"/>
      <c r="F75" s="228"/>
      <c r="G75" s="228"/>
      <c r="H75" s="228"/>
      <c r="I75" s="228"/>
      <c r="J75" s="228"/>
      <c r="K75" s="228"/>
      <c r="L75" s="228"/>
      <c r="M75" s="228"/>
      <c r="N75" s="228"/>
    </row>
    <row r="76" spans="2:20" ht="29.4" customHeight="1">
      <c r="B76" s="227"/>
      <c r="C76" s="228"/>
      <c r="D76" s="228"/>
      <c r="E76" s="228"/>
      <c r="F76" s="228"/>
      <c r="G76" s="228"/>
      <c r="H76" s="228"/>
      <c r="I76" s="228"/>
      <c r="J76" s="228"/>
      <c r="K76" s="228"/>
      <c r="L76" s="228"/>
      <c r="M76" s="228"/>
      <c r="N76" s="228"/>
    </row>
    <row r="77" spans="2:20" ht="21" customHeight="1">
      <c r="B77" s="207" t="s">
        <v>195</v>
      </c>
      <c r="C77" s="208"/>
      <c r="D77" s="208"/>
      <c r="E77" s="208"/>
      <c r="F77" s="208"/>
      <c r="G77" s="208"/>
      <c r="H77" s="208"/>
      <c r="I77" s="208"/>
      <c r="J77" s="208"/>
      <c r="K77" s="208"/>
      <c r="L77" s="208"/>
      <c r="M77" s="208"/>
      <c r="N77" s="208"/>
    </row>
    <row r="78" spans="2:20" ht="15.6" customHeight="1">
      <c r="C78" s="209" t="s">
        <v>196</v>
      </c>
      <c r="D78" s="59"/>
      <c r="E78" s="60"/>
      <c r="F78" s="210"/>
      <c r="G78" s="210"/>
    </row>
    <row r="79" spans="2:20" ht="21">
      <c r="C79" s="211" t="s">
        <v>212</v>
      </c>
      <c r="D79" s="60"/>
      <c r="E79" s="210"/>
      <c r="F79" s="210"/>
      <c r="G79" s="210"/>
    </row>
    <row r="80" spans="2:20" ht="21">
      <c r="C80" s="211" t="s">
        <v>213</v>
      </c>
      <c r="D80" s="60"/>
      <c r="E80" s="210"/>
      <c r="F80" s="210"/>
      <c r="G80" s="210"/>
    </row>
    <row r="81" spans="3:7" ht="21">
      <c r="C81" s="209" t="s">
        <v>214</v>
      </c>
      <c r="D81" s="60"/>
      <c r="E81" s="210"/>
      <c r="F81" s="210"/>
      <c r="G81" s="210"/>
    </row>
    <row r="82" spans="3:7" ht="21">
      <c r="C82" s="211" t="s">
        <v>197</v>
      </c>
      <c r="D82" s="60"/>
      <c r="E82" s="210"/>
      <c r="F82" s="210"/>
      <c r="G82" s="210"/>
    </row>
    <row r="83" spans="3:7" ht="21">
      <c r="C83" s="211" t="s">
        <v>198</v>
      </c>
      <c r="D83" s="60"/>
      <c r="E83" s="212"/>
      <c r="F83" s="212"/>
      <c r="G83" s="212"/>
    </row>
    <row r="84" spans="3:7" ht="21">
      <c r="C84" s="211" t="s">
        <v>199</v>
      </c>
      <c r="D84" s="60"/>
      <c r="E84" s="212"/>
      <c r="F84" s="212"/>
      <c r="G84" s="212"/>
    </row>
    <row r="85" spans="3:7" ht="21">
      <c r="C85" s="211" t="s">
        <v>200</v>
      </c>
      <c r="D85" s="60"/>
      <c r="E85" s="212"/>
      <c r="F85" s="212"/>
      <c r="G85" s="212"/>
    </row>
    <row r="86" spans="3:7" ht="21">
      <c r="C86" s="211" t="s">
        <v>201</v>
      </c>
      <c r="D86" s="60"/>
      <c r="E86" s="212"/>
      <c r="F86" s="212"/>
      <c r="G86" s="212"/>
    </row>
    <row r="87" spans="3:7" ht="21">
      <c r="C87" s="211" t="s">
        <v>202</v>
      </c>
      <c r="D87" s="60"/>
      <c r="E87" s="212"/>
      <c r="F87" s="212"/>
      <c r="G87" s="212"/>
    </row>
    <row r="88" spans="3:7" ht="21">
      <c r="C88" s="211"/>
      <c r="D88" s="60"/>
      <c r="E88" s="212"/>
      <c r="F88" s="212"/>
      <c r="G88" s="212"/>
    </row>
    <row r="89" spans="3:7" ht="21">
      <c r="C89" s="213" t="s">
        <v>203</v>
      </c>
      <c r="D89" s="61"/>
      <c r="E89" s="212"/>
      <c r="F89" s="212"/>
      <c r="G89" s="212"/>
    </row>
    <row r="90" spans="3:7" ht="21">
      <c r="C90" s="213" t="s">
        <v>215</v>
      </c>
      <c r="D90" s="61"/>
      <c r="E90" s="212"/>
      <c r="F90" s="212"/>
      <c r="G90" s="212"/>
    </row>
    <row r="91" spans="3:7" ht="21">
      <c r="C91" s="211"/>
      <c r="D91" s="60"/>
      <c r="E91" s="212"/>
      <c r="F91" s="212"/>
      <c r="G91" s="212"/>
    </row>
    <row r="92" spans="3:7" ht="21">
      <c r="C92" s="59"/>
      <c r="D92" s="59"/>
      <c r="E92" s="212"/>
      <c r="F92" s="212"/>
      <c r="G92" s="212"/>
    </row>
    <row r="93" spans="3:7" ht="21">
      <c r="C93" s="59"/>
      <c r="D93" s="59"/>
      <c r="E93" s="212"/>
      <c r="F93" s="212"/>
      <c r="G93" s="212"/>
    </row>
    <row r="94" spans="3:7" ht="21">
      <c r="C94" s="59"/>
      <c r="D94" s="59"/>
      <c r="E94" s="212"/>
      <c r="F94" s="212"/>
      <c r="G94" s="212"/>
    </row>
    <row r="95" spans="3:7" ht="21">
      <c r="C95" s="62" t="s">
        <v>183</v>
      </c>
      <c r="D95" s="24"/>
      <c r="E95" s="212"/>
      <c r="F95" s="212"/>
      <c r="G95" s="212"/>
    </row>
  </sheetData>
  <mergeCells count="135">
    <mergeCell ref="N59:O59"/>
    <mergeCell ref="N61:O61"/>
    <mergeCell ref="N64:O64"/>
    <mergeCell ref="N67:O67"/>
    <mergeCell ref="N69:O69"/>
    <mergeCell ref="N46:O46"/>
    <mergeCell ref="N48:O48"/>
    <mergeCell ref="N50:O50"/>
    <mergeCell ref="N53:O53"/>
    <mergeCell ref="N55:O55"/>
    <mergeCell ref="N57:O57"/>
    <mergeCell ref="B77:N77"/>
    <mergeCell ref="D61:E61"/>
    <mergeCell ref="H61:I61"/>
    <mergeCell ref="J61:K61"/>
    <mergeCell ref="B62:K62"/>
    <mergeCell ref="B63:L63"/>
    <mergeCell ref="D64:E64"/>
    <mergeCell ref="H64:I64"/>
    <mergeCell ref="J64:K64"/>
    <mergeCell ref="B65:K65"/>
    <mergeCell ref="B70:K70"/>
    <mergeCell ref="B71:C71"/>
    <mergeCell ref="D71:G71"/>
    <mergeCell ref="H71:K71"/>
    <mergeCell ref="L71:M71"/>
    <mergeCell ref="B72:N72"/>
    <mergeCell ref="D67:E67"/>
    <mergeCell ref="H67:I67"/>
    <mergeCell ref="J67:K67"/>
    <mergeCell ref="B68:K68"/>
    <mergeCell ref="D69:E69"/>
    <mergeCell ref="H69:I69"/>
    <mergeCell ref="J69:K69"/>
    <mergeCell ref="B58:K58"/>
    <mergeCell ref="D59:E59"/>
    <mergeCell ref="H59:I59"/>
    <mergeCell ref="J59:K59"/>
    <mergeCell ref="B60:K60"/>
    <mergeCell ref="B66:L66"/>
    <mergeCell ref="D55:E55"/>
    <mergeCell ref="H55:I55"/>
    <mergeCell ref="J55:K55"/>
    <mergeCell ref="B56:K56"/>
    <mergeCell ref="D57:E57"/>
    <mergeCell ref="H57:I57"/>
    <mergeCell ref="J57:K57"/>
    <mergeCell ref="B51:K51"/>
    <mergeCell ref="B52:L52"/>
    <mergeCell ref="D53:E53"/>
    <mergeCell ref="H53:I53"/>
    <mergeCell ref="J53:K53"/>
    <mergeCell ref="B54:K54"/>
    <mergeCell ref="B47:K47"/>
    <mergeCell ref="D48:E48"/>
    <mergeCell ref="H48:I48"/>
    <mergeCell ref="J48:K48"/>
    <mergeCell ref="B49:K49"/>
    <mergeCell ref="D50:E50"/>
    <mergeCell ref="H50:I50"/>
    <mergeCell ref="J50:K50"/>
    <mergeCell ref="B43:K43"/>
    <mergeCell ref="B44:J44"/>
    <mergeCell ref="B45:L45"/>
    <mergeCell ref="D46:E46"/>
    <mergeCell ref="H46:I46"/>
    <mergeCell ref="J46:K46"/>
    <mergeCell ref="D40:E40"/>
    <mergeCell ref="H40:I40"/>
    <mergeCell ref="J40:K40"/>
    <mergeCell ref="N40:O40"/>
    <mergeCell ref="B41:O41"/>
    <mergeCell ref="D42:E42"/>
    <mergeCell ref="H42:I42"/>
    <mergeCell ref="J42:K42"/>
    <mergeCell ref="N42:O42"/>
    <mergeCell ref="B37:O37"/>
    <mergeCell ref="D38:E38"/>
    <mergeCell ref="H38:I38"/>
    <mergeCell ref="J38:K38"/>
    <mergeCell ref="N38:O38"/>
    <mergeCell ref="B39:O39"/>
    <mergeCell ref="D34:E34"/>
    <mergeCell ref="H34:I34"/>
    <mergeCell ref="J34:K34"/>
    <mergeCell ref="N34:O34"/>
    <mergeCell ref="B35:O35"/>
    <mergeCell ref="D36:E36"/>
    <mergeCell ref="H36:I36"/>
    <mergeCell ref="J36:K36"/>
    <mergeCell ref="N36:O36"/>
    <mergeCell ref="B31:P31"/>
    <mergeCell ref="B32:P32"/>
    <mergeCell ref="D33:E33"/>
    <mergeCell ref="H33:I33"/>
    <mergeCell ref="J33:K33"/>
    <mergeCell ref="N33:O33"/>
    <mergeCell ref="B29:D29"/>
    <mergeCell ref="E29:H29"/>
    <mergeCell ref="I29:L29"/>
    <mergeCell ref="M29:N29"/>
    <mergeCell ref="B30:D30"/>
    <mergeCell ref="E30:H30"/>
    <mergeCell ref="I30:L30"/>
    <mergeCell ref="M30:N30"/>
    <mergeCell ref="B27:D27"/>
    <mergeCell ref="E27:H27"/>
    <mergeCell ref="I27:L27"/>
    <mergeCell ref="M27:N27"/>
    <mergeCell ref="B28:D28"/>
    <mergeCell ref="E28:H28"/>
    <mergeCell ref="I28:L28"/>
    <mergeCell ref="M28:N28"/>
    <mergeCell ref="B25:D25"/>
    <mergeCell ref="E25:H25"/>
    <mergeCell ref="I25:L25"/>
    <mergeCell ref="M25:N25"/>
    <mergeCell ref="B26:D26"/>
    <mergeCell ref="E26:H26"/>
    <mergeCell ref="I26:L26"/>
    <mergeCell ref="M26:N26"/>
    <mergeCell ref="B19:N19"/>
    <mergeCell ref="R19:V19"/>
    <mergeCell ref="B20:C20"/>
    <mergeCell ref="D20:N20"/>
    <mergeCell ref="B21:N23"/>
    <mergeCell ref="B24:J24"/>
    <mergeCell ref="K24:N24"/>
    <mergeCell ref="R24:V24"/>
    <mergeCell ref="B2:N2"/>
    <mergeCell ref="B3:N3"/>
    <mergeCell ref="B4:N4"/>
    <mergeCell ref="B6:M6"/>
    <mergeCell ref="B14:M14"/>
    <mergeCell ref="B17:F17"/>
  </mergeCells>
  <hyperlinks>
    <hyperlink ref="M30" r:id="rId1"/>
  </hyperlinks>
  <pageMargins left="0.25" right="0.25" top="0.75" bottom="0.75" header="0.3" footer="0.3"/>
  <pageSetup paperSize="9" scale="75"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topLeftCell="A18" workbookViewId="0">
      <selection activeCell="A25" sqref="A25:J25"/>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39.299999999999997" customHeight="1">
      <c r="A1" s="1" t="s">
        <v>24</v>
      </c>
      <c r="B1" s="2" t="s">
        <v>25</v>
      </c>
      <c r="C1" s="3" t="s">
        <v>26</v>
      </c>
      <c r="D1" s="4" t="s">
        <v>27</v>
      </c>
      <c r="E1" s="4" t="s">
        <v>28</v>
      </c>
      <c r="F1" s="3" t="s">
        <v>29</v>
      </c>
      <c r="G1" s="4" t="s">
        <v>30</v>
      </c>
      <c r="H1" s="5" t="s">
        <v>31</v>
      </c>
      <c r="I1" s="5" t="s">
        <v>32</v>
      </c>
      <c r="J1" s="4" t="s">
        <v>33</v>
      </c>
    </row>
    <row r="2" spans="1:11" ht="56.25" customHeight="1">
      <c r="A2" s="6">
        <v>5</v>
      </c>
      <c r="B2" s="7" t="s">
        <v>42</v>
      </c>
      <c r="C2" s="1"/>
      <c r="D2" s="8">
        <v>279</v>
      </c>
      <c r="E2" s="14">
        <v>825</v>
      </c>
      <c r="F2" s="15">
        <v>460</v>
      </c>
      <c r="G2" s="10" t="s">
        <v>43</v>
      </c>
      <c r="H2" s="16">
        <v>18</v>
      </c>
      <c r="I2" s="12">
        <v>23101.200000000001</v>
      </c>
      <c r="J2" s="17" t="s">
        <v>44</v>
      </c>
    </row>
    <row r="3" spans="1:11" ht="17.7" customHeight="1">
      <c r="A3" s="71" t="s">
        <v>45</v>
      </c>
      <c r="B3" s="72"/>
      <c r="C3" s="72"/>
      <c r="D3" s="72"/>
      <c r="E3" s="72"/>
      <c r="F3" s="72"/>
      <c r="G3" s="72"/>
      <c r="H3" s="72"/>
      <c r="I3" s="72"/>
      <c r="J3" s="68"/>
    </row>
    <row r="4" spans="1:11" ht="17.7" customHeight="1">
      <c r="A4" s="122" t="s">
        <v>46</v>
      </c>
      <c r="B4" s="122"/>
      <c r="C4" s="122"/>
      <c r="D4" s="122"/>
      <c r="E4" s="122"/>
      <c r="F4" s="122"/>
      <c r="G4" s="122"/>
      <c r="H4" s="122"/>
      <c r="I4" s="123"/>
      <c r="J4" s="18" t="s">
        <v>47</v>
      </c>
    </row>
    <row r="5" spans="1:11" ht="21" customHeight="1">
      <c r="A5" s="124" t="s">
        <v>48</v>
      </c>
      <c r="B5" s="124"/>
      <c r="C5" s="124"/>
      <c r="D5" s="124"/>
      <c r="E5" s="124"/>
      <c r="F5" s="124"/>
      <c r="G5" s="124"/>
      <c r="H5" s="124"/>
      <c r="I5" s="124"/>
      <c r="J5" s="124"/>
      <c r="K5" s="124"/>
    </row>
    <row r="6" spans="1:11" ht="39.75" customHeight="1">
      <c r="A6" s="1" t="s">
        <v>24</v>
      </c>
      <c r="B6" s="2" t="s">
        <v>25</v>
      </c>
      <c r="C6" s="3" t="s">
        <v>26</v>
      </c>
      <c r="D6" s="4" t="s">
        <v>27</v>
      </c>
      <c r="E6" s="4" t="s">
        <v>28</v>
      </c>
      <c r="F6" s="3" t="s">
        <v>29</v>
      </c>
      <c r="G6" s="4" t="s">
        <v>30</v>
      </c>
      <c r="H6" s="5" t="s">
        <v>31</v>
      </c>
      <c r="I6" s="5" t="s">
        <v>32</v>
      </c>
      <c r="J6" s="4" t="s">
        <v>33</v>
      </c>
    </row>
    <row r="7" spans="1:11" ht="56.25" customHeight="1">
      <c r="A7" s="6">
        <v>6</v>
      </c>
      <c r="B7" s="7" t="s">
        <v>49</v>
      </c>
      <c r="C7" s="1"/>
      <c r="D7" s="8">
        <v>291</v>
      </c>
      <c r="E7" s="9">
        <v>4500</v>
      </c>
      <c r="F7" s="9">
        <v>2510</v>
      </c>
      <c r="G7" s="10" t="s">
        <v>50</v>
      </c>
      <c r="H7" s="11">
        <v>18</v>
      </c>
      <c r="I7" s="10" t="s">
        <v>51</v>
      </c>
      <c r="J7" s="17" t="s">
        <v>52</v>
      </c>
    </row>
    <row r="8" spans="1:11" ht="17.7" customHeight="1">
      <c r="A8" s="71" t="s">
        <v>53</v>
      </c>
      <c r="B8" s="72"/>
      <c r="C8" s="72"/>
      <c r="D8" s="72"/>
      <c r="E8" s="72"/>
      <c r="F8" s="72"/>
      <c r="G8" s="72"/>
      <c r="H8" s="72"/>
      <c r="I8" s="72"/>
      <c r="J8" s="68"/>
    </row>
    <row r="9" spans="1:11" ht="56.25" customHeight="1">
      <c r="A9" s="6">
        <v>7</v>
      </c>
      <c r="B9" s="7" t="s">
        <v>54</v>
      </c>
      <c r="C9" s="1"/>
      <c r="D9" s="8">
        <v>291</v>
      </c>
      <c r="E9" s="9">
        <v>1675</v>
      </c>
      <c r="F9" s="9">
        <v>1020</v>
      </c>
      <c r="G9" s="10" t="s">
        <v>55</v>
      </c>
      <c r="H9" s="11">
        <v>18</v>
      </c>
      <c r="I9" s="12">
        <v>53427.6</v>
      </c>
      <c r="J9" s="17" t="s">
        <v>56</v>
      </c>
    </row>
    <row r="10" spans="1:11" ht="17.7" customHeight="1">
      <c r="A10" s="71" t="s">
        <v>57</v>
      </c>
      <c r="B10" s="72"/>
      <c r="C10" s="72"/>
      <c r="D10" s="72"/>
      <c r="E10" s="72"/>
      <c r="F10" s="72"/>
      <c r="G10" s="72"/>
      <c r="H10" s="72"/>
      <c r="I10" s="72"/>
      <c r="J10" s="68"/>
    </row>
    <row r="11" spans="1:11" ht="56.25" customHeight="1">
      <c r="A11" s="6">
        <v>8</v>
      </c>
      <c r="B11" s="5" t="s">
        <v>58</v>
      </c>
      <c r="C11" s="1"/>
      <c r="D11" s="8">
        <v>291</v>
      </c>
      <c r="E11" s="14">
        <v>625</v>
      </c>
      <c r="F11" s="15">
        <v>385</v>
      </c>
      <c r="G11" s="10" t="s">
        <v>59</v>
      </c>
      <c r="H11" s="11">
        <v>18</v>
      </c>
      <c r="I11" s="12">
        <v>20166.3</v>
      </c>
      <c r="J11" s="17" t="s">
        <v>60</v>
      </c>
    </row>
    <row r="12" spans="1:11" ht="17.7" customHeight="1">
      <c r="A12" s="71" t="s">
        <v>61</v>
      </c>
      <c r="B12" s="72"/>
      <c r="C12" s="72"/>
      <c r="D12" s="72"/>
      <c r="E12" s="72"/>
      <c r="F12" s="72"/>
      <c r="G12" s="72"/>
      <c r="H12" s="72"/>
      <c r="I12" s="72"/>
      <c r="J12" s="68"/>
    </row>
    <row r="13" spans="1:11" ht="17.7" customHeight="1">
      <c r="A13" s="127" t="s">
        <v>62</v>
      </c>
      <c r="B13" s="127"/>
      <c r="C13" s="127"/>
      <c r="D13" s="127"/>
      <c r="E13" s="127"/>
      <c r="F13" s="127"/>
      <c r="G13" s="127"/>
      <c r="H13" s="127"/>
      <c r="I13" s="128"/>
      <c r="J13" s="18" t="s">
        <v>63</v>
      </c>
    </row>
    <row r="14" spans="1:11" ht="38.25" customHeight="1">
      <c r="A14" s="124" t="s">
        <v>64</v>
      </c>
      <c r="B14" s="124"/>
      <c r="C14" s="124"/>
      <c r="D14" s="124"/>
      <c r="E14" s="124"/>
      <c r="F14" s="124"/>
      <c r="G14" s="124"/>
      <c r="H14" s="124"/>
      <c r="I14" s="124"/>
      <c r="J14" s="124"/>
      <c r="K14" s="124"/>
    </row>
    <row r="15" spans="1:11" ht="40.049999999999997" customHeight="1">
      <c r="A15" s="1" t="s">
        <v>24</v>
      </c>
      <c r="B15" s="2" t="s">
        <v>25</v>
      </c>
      <c r="C15" s="3" t="s">
        <v>26</v>
      </c>
      <c r="D15" s="4" t="s">
        <v>27</v>
      </c>
      <c r="E15" s="19" t="s">
        <v>28</v>
      </c>
      <c r="F15" s="3" t="s">
        <v>29</v>
      </c>
      <c r="G15" s="4" t="s">
        <v>30</v>
      </c>
      <c r="H15" s="5" t="s">
        <v>31</v>
      </c>
      <c r="I15" s="5" t="s">
        <v>32</v>
      </c>
      <c r="J15" s="4" t="s">
        <v>33</v>
      </c>
    </row>
    <row r="16" spans="1:11" ht="56.25" customHeight="1">
      <c r="A16" s="6">
        <v>9</v>
      </c>
      <c r="B16" s="5" t="s">
        <v>65</v>
      </c>
      <c r="C16" s="1"/>
      <c r="D16" s="8">
        <v>357</v>
      </c>
      <c r="E16" s="9">
        <v>9750</v>
      </c>
      <c r="F16" s="9">
        <v>5660</v>
      </c>
      <c r="G16" s="10" t="s">
        <v>66</v>
      </c>
      <c r="H16" s="16">
        <v>18</v>
      </c>
      <c r="I16" s="10" t="s">
        <v>67</v>
      </c>
      <c r="J16" s="13" t="s">
        <v>68</v>
      </c>
    </row>
    <row r="17" spans="1:10" ht="17.7" customHeight="1">
      <c r="A17" s="71" t="s">
        <v>69</v>
      </c>
      <c r="B17" s="72"/>
      <c r="C17" s="72"/>
      <c r="D17" s="72"/>
      <c r="E17" s="72"/>
      <c r="F17" s="72"/>
      <c r="G17" s="72"/>
      <c r="H17" s="72"/>
      <c r="I17" s="72"/>
      <c r="J17" s="68"/>
    </row>
    <row r="18" spans="1:10" ht="56.25" customHeight="1">
      <c r="A18" s="6">
        <v>10</v>
      </c>
      <c r="B18" s="7" t="s">
        <v>70</v>
      </c>
      <c r="C18" s="1"/>
      <c r="D18" s="8">
        <v>357</v>
      </c>
      <c r="E18" s="9">
        <v>4050</v>
      </c>
      <c r="F18" s="9">
        <v>2320</v>
      </c>
      <c r="G18" s="10" t="s">
        <v>71</v>
      </c>
      <c r="H18" s="11">
        <v>18</v>
      </c>
      <c r="I18" s="10" t="s">
        <v>72</v>
      </c>
      <c r="J18" s="17" t="s">
        <v>73</v>
      </c>
    </row>
    <row r="19" spans="1:10" ht="17.7" customHeight="1">
      <c r="A19" s="71" t="s">
        <v>74</v>
      </c>
      <c r="B19" s="72"/>
      <c r="C19" s="72"/>
      <c r="D19" s="72"/>
      <c r="E19" s="72"/>
      <c r="F19" s="72"/>
      <c r="G19" s="72"/>
      <c r="H19" s="72"/>
      <c r="I19" s="72"/>
      <c r="J19" s="68"/>
    </row>
    <row r="20" spans="1:10" ht="56.25" customHeight="1">
      <c r="A20" s="6">
        <v>11</v>
      </c>
      <c r="B20" s="7" t="s">
        <v>75</v>
      </c>
      <c r="C20" s="1"/>
      <c r="D20" s="8">
        <v>357</v>
      </c>
      <c r="E20" s="9">
        <v>1625</v>
      </c>
      <c r="F20" s="15">
        <v>930</v>
      </c>
      <c r="G20" s="10" t="s">
        <v>76</v>
      </c>
      <c r="H20" s="11">
        <v>18</v>
      </c>
      <c r="I20" s="12">
        <v>59761.8</v>
      </c>
      <c r="J20" s="17" t="s">
        <v>77</v>
      </c>
    </row>
    <row r="21" spans="1:10" ht="17.7" customHeight="1">
      <c r="A21" s="71" t="s">
        <v>78</v>
      </c>
      <c r="B21" s="72"/>
      <c r="C21" s="72"/>
      <c r="D21" s="72"/>
      <c r="E21" s="72"/>
      <c r="F21" s="72"/>
      <c r="G21" s="72"/>
      <c r="H21" s="72"/>
      <c r="I21" s="72"/>
      <c r="J21" s="68"/>
    </row>
    <row r="22" spans="1:10" ht="56.25" customHeight="1">
      <c r="A22" s="6">
        <v>12</v>
      </c>
      <c r="B22" s="5" t="s">
        <v>79</v>
      </c>
      <c r="C22" s="1"/>
      <c r="D22" s="8">
        <v>357</v>
      </c>
      <c r="E22" s="9">
        <v>1175</v>
      </c>
      <c r="F22" s="15">
        <v>715</v>
      </c>
      <c r="G22" s="10" t="s">
        <v>80</v>
      </c>
      <c r="H22" s="11">
        <v>18</v>
      </c>
      <c r="I22" s="12">
        <v>45945.9</v>
      </c>
      <c r="J22" s="17" t="s">
        <v>81</v>
      </c>
    </row>
    <row r="23" spans="1:10" ht="17.7" customHeight="1">
      <c r="A23" s="71" t="s">
        <v>82</v>
      </c>
      <c r="B23" s="72"/>
      <c r="C23" s="72"/>
      <c r="D23" s="72"/>
      <c r="E23" s="72"/>
      <c r="F23" s="72"/>
      <c r="G23" s="72"/>
      <c r="H23" s="72"/>
      <c r="I23" s="72"/>
      <c r="J23" s="68"/>
    </row>
    <row r="24" spans="1:10" ht="56.25" customHeight="1">
      <c r="A24" s="6">
        <v>13</v>
      </c>
      <c r="B24" s="13" t="s">
        <v>83</v>
      </c>
      <c r="C24" s="1"/>
      <c r="D24" s="8">
        <v>57</v>
      </c>
      <c r="E24" s="9">
        <v>1375</v>
      </c>
      <c r="F24" s="15">
        <v>835</v>
      </c>
      <c r="G24" s="12">
        <v>47595</v>
      </c>
      <c r="H24" s="11">
        <v>18</v>
      </c>
      <c r="I24" s="9">
        <v>8567.1</v>
      </c>
      <c r="J24" s="20">
        <v>56162.1</v>
      </c>
    </row>
    <row r="25" spans="1:10" ht="17.7" customHeight="1">
      <c r="A25" s="71" t="s">
        <v>84</v>
      </c>
      <c r="B25" s="72"/>
      <c r="C25" s="72"/>
      <c r="D25" s="72"/>
      <c r="E25" s="72"/>
      <c r="F25" s="72"/>
      <c r="G25" s="72"/>
      <c r="H25" s="72"/>
      <c r="I25" s="72"/>
      <c r="J25" s="68"/>
    </row>
    <row r="26" spans="1:10" ht="17.7" customHeight="1">
      <c r="A26" s="125" t="s">
        <v>85</v>
      </c>
      <c r="B26" s="125"/>
      <c r="C26" s="125"/>
      <c r="D26" s="125"/>
      <c r="E26" s="125"/>
      <c r="F26" s="125"/>
      <c r="G26" s="125"/>
      <c r="H26" s="125"/>
      <c r="I26" s="126"/>
      <c r="J26" s="18" t="s">
        <v>86</v>
      </c>
    </row>
  </sheetData>
  <mergeCells count="14">
    <mergeCell ref="A21:J21"/>
    <mergeCell ref="A23:J23"/>
    <mergeCell ref="A25:J25"/>
    <mergeCell ref="A26:I26"/>
    <mergeCell ref="A12:J12"/>
    <mergeCell ref="A13:I13"/>
    <mergeCell ref="A14:K14"/>
    <mergeCell ref="A17:J17"/>
    <mergeCell ref="A19:J19"/>
    <mergeCell ref="A3:J3"/>
    <mergeCell ref="A4:I4"/>
    <mergeCell ref="A5:K5"/>
    <mergeCell ref="A8:J8"/>
    <mergeCell ref="A10:J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A4" sqref="A4:J4"/>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42" customHeight="1">
      <c r="A1" s="192" t="s">
        <v>87</v>
      </c>
      <c r="B1" s="77"/>
      <c r="C1" s="77"/>
      <c r="D1" s="77"/>
      <c r="E1" s="77"/>
      <c r="F1" s="77"/>
      <c r="G1" s="77"/>
      <c r="H1" s="77"/>
      <c r="I1" s="77"/>
      <c r="J1" s="77"/>
      <c r="K1" s="77"/>
    </row>
    <row r="2" spans="1:11" ht="40.049999999999997" customHeight="1">
      <c r="A2" s="1" t="s">
        <v>24</v>
      </c>
      <c r="B2" s="2" t="s">
        <v>25</v>
      </c>
      <c r="C2" s="3" t="s">
        <v>26</v>
      </c>
      <c r="D2" s="4" t="s">
        <v>27</v>
      </c>
      <c r="E2" s="19" t="s">
        <v>28</v>
      </c>
      <c r="F2" s="3" t="s">
        <v>29</v>
      </c>
      <c r="G2" s="4" t="s">
        <v>30</v>
      </c>
      <c r="H2" s="5" t="s">
        <v>31</v>
      </c>
      <c r="I2" s="5" t="s">
        <v>32</v>
      </c>
      <c r="J2" s="4" t="s">
        <v>33</v>
      </c>
    </row>
    <row r="3" spans="1:11" ht="56.25" customHeight="1">
      <c r="A3" s="6">
        <v>14</v>
      </c>
      <c r="B3" s="10" t="s">
        <v>88</v>
      </c>
      <c r="C3" s="1"/>
      <c r="D3" s="8">
        <v>15</v>
      </c>
      <c r="E3" s="9">
        <v>7800</v>
      </c>
      <c r="F3" s="9">
        <v>4520</v>
      </c>
      <c r="G3" s="12">
        <v>67800</v>
      </c>
      <c r="H3" s="16">
        <v>18</v>
      </c>
      <c r="I3" s="12">
        <v>12204</v>
      </c>
      <c r="J3" s="20">
        <v>80004</v>
      </c>
    </row>
    <row r="4" spans="1:11" ht="17.7" customHeight="1">
      <c r="A4" s="71" t="s">
        <v>89</v>
      </c>
      <c r="B4" s="72"/>
      <c r="C4" s="72"/>
      <c r="D4" s="72"/>
      <c r="E4" s="72"/>
      <c r="F4" s="72"/>
      <c r="G4" s="72"/>
      <c r="H4" s="72"/>
      <c r="I4" s="72"/>
      <c r="J4" s="68"/>
    </row>
    <row r="5" spans="1:11" ht="17.7" customHeight="1">
      <c r="A5" s="125" t="s">
        <v>90</v>
      </c>
      <c r="B5" s="125"/>
      <c r="C5" s="125"/>
      <c r="D5" s="125"/>
      <c r="E5" s="125"/>
      <c r="F5" s="125"/>
      <c r="G5" s="125"/>
      <c r="H5" s="125"/>
      <c r="I5" s="126"/>
      <c r="J5" s="21">
        <v>80004</v>
      </c>
    </row>
  </sheetData>
  <mergeCells count="3">
    <mergeCell ref="A1:K1"/>
    <mergeCell ref="A4:J4"/>
    <mergeCell ref="A5: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7"/>
  <sheetViews>
    <sheetView workbookViewId="0">
      <selection activeCell="A8" sqref="A8:D8"/>
    </sheetView>
  </sheetViews>
  <sheetFormatPr defaultRowHeight="13.2"/>
  <cols>
    <col min="1" max="1" width="5.33203125" customWidth="1"/>
    <col min="2" max="2" width="1.109375" customWidth="1"/>
    <col min="3" max="3" width="10.88671875" customWidth="1"/>
    <col min="4" max="4" width="9.33203125" customWidth="1"/>
    <col min="5" max="5" width="2.6640625" customWidth="1"/>
    <col min="6" max="6" width="5.33203125" customWidth="1"/>
    <col min="7" max="7" width="5.109375" customWidth="1"/>
    <col min="8" max="8" width="6.6640625" customWidth="1"/>
    <col min="9" max="9" width="1.5546875" customWidth="1"/>
    <col min="10" max="10" width="5.109375" customWidth="1"/>
    <col min="11" max="11" width="7.109375" customWidth="1"/>
    <col min="12" max="12" width="12.44140625" customWidth="1"/>
    <col min="13" max="13" width="6" customWidth="1"/>
    <col min="14" max="14" width="0.88671875" customWidth="1"/>
    <col min="15" max="15" width="11.5546875" customWidth="1"/>
    <col min="16" max="16" width="8.44140625" customWidth="1"/>
    <col min="17" max="17" width="6.44140625" customWidth="1"/>
    <col min="18" max="18" width="26.6640625" customWidth="1"/>
    <col min="19" max="19" width="1.33203125" customWidth="1"/>
    <col min="20" max="20" width="3.109375" customWidth="1"/>
  </cols>
  <sheetData>
    <row r="1" spans="1:20" ht="42" customHeight="1">
      <c r="A1" s="77" t="s">
        <v>91</v>
      </c>
      <c r="B1" s="77"/>
      <c r="C1" s="77"/>
      <c r="D1" s="77"/>
      <c r="E1" s="77"/>
      <c r="F1" s="77"/>
      <c r="G1" s="77"/>
      <c r="H1" s="77"/>
      <c r="I1" s="77"/>
      <c r="J1" s="77"/>
      <c r="K1" s="77"/>
      <c r="L1" s="77"/>
      <c r="M1" s="77"/>
      <c r="N1" s="77"/>
      <c r="O1" s="77"/>
      <c r="P1" s="77"/>
      <c r="Q1" s="77"/>
      <c r="R1" s="77"/>
      <c r="S1" s="77"/>
      <c r="T1" s="77"/>
    </row>
    <row r="2" spans="1:20" ht="39.75" customHeight="1">
      <c r="A2" s="1" t="s">
        <v>24</v>
      </c>
      <c r="B2" s="135" t="s">
        <v>25</v>
      </c>
      <c r="C2" s="136"/>
      <c r="D2" s="78" t="s">
        <v>26</v>
      </c>
      <c r="E2" s="79"/>
      <c r="F2" s="4" t="s">
        <v>27</v>
      </c>
      <c r="G2" s="137" t="s">
        <v>28</v>
      </c>
      <c r="H2" s="138"/>
      <c r="I2" s="139"/>
      <c r="J2" s="78" t="s">
        <v>29</v>
      </c>
      <c r="K2" s="79"/>
      <c r="L2" s="4" t="s">
        <v>30</v>
      </c>
      <c r="M2" s="5" t="s">
        <v>31</v>
      </c>
      <c r="N2" s="140" t="s">
        <v>32</v>
      </c>
      <c r="O2" s="141"/>
      <c r="P2" s="80" t="s">
        <v>33</v>
      </c>
      <c r="Q2" s="142"/>
      <c r="R2" s="142"/>
      <c r="S2" s="81"/>
    </row>
    <row r="3" spans="1:20" ht="56.25" customHeight="1">
      <c r="A3" s="6">
        <v>15</v>
      </c>
      <c r="B3" s="140" t="s">
        <v>92</v>
      </c>
      <c r="C3" s="141"/>
      <c r="D3" s="63"/>
      <c r="E3" s="64"/>
      <c r="F3" s="8">
        <v>248</v>
      </c>
      <c r="G3" s="73">
        <v>1850</v>
      </c>
      <c r="H3" s="143"/>
      <c r="I3" s="74"/>
      <c r="J3" s="73">
        <v>1140</v>
      </c>
      <c r="K3" s="74"/>
      <c r="L3" s="10" t="s">
        <v>93</v>
      </c>
      <c r="M3" s="11">
        <v>18</v>
      </c>
      <c r="N3" s="144">
        <v>50889.599999999999</v>
      </c>
      <c r="O3" s="145"/>
      <c r="P3" s="146" t="s">
        <v>94</v>
      </c>
      <c r="Q3" s="147"/>
      <c r="R3" s="147"/>
      <c r="S3" s="148"/>
    </row>
    <row r="4" spans="1:20" ht="17.7" customHeight="1">
      <c r="A4" s="71" t="s">
        <v>95</v>
      </c>
      <c r="B4" s="72"/>
      <c r="C4" s="72"/>
      <c r="D4" s="72"/>
      <c r="E4" s="72"/>
      <c r="F4" s="72"/>
      <c r="G4" s="72"/>
      <c r="H4" s="72"/>
      <c r="I4" s="72"/>
      <c r="J4" s="72"/>
      <c r="K4" s="72"/>
      <c r="L4" s="72"/>
      <c r="M4" s="72"/>
      <c r="N4" s="72"/>
      <c r="O4" s="72"/>
      <c r="P4" s="72"/>
      <c r="Q4" s="72"/>
      <c r="R4" s="72"/>
      <c r="S4" s="68"/>
    </row>
    <row r="5" spans="1:20" ht="56.25" customHeight="1">
      <c r="A5" s="6">
        <v>16</v>
      </c>
      <c r="B5" s="149" t="s">
        <v>96</v>
      </c>
      <c r="C5" s="70"/>
      <c r="D5" s="63"/>
      <c r="E5" s="64"/>
      <c r="F5" s="8">
        <v>124</v>
      </c>
      <c r="G5" s="73">
        <v>1050</v>
      </c>
      <c r="H5" s="143"/>
      <c r="I5" s="74"/>
      <c r="J5" s="65">
        <v>600</v>
      </c>
      <c r="K5" s="66"/>
      <c r="L5" s="12">
        <v>74400</v>
      </c>
      <c r="M5" s="11">
        <v>18</v>
      </c>
      <c r="N5" s="144">
        <v>13392</v>
      </c>
      <c r="O5" s="145"/>
      <c r="P5" s="150">
        <v>87792</v>
      </c>
      <c r="Q5" s="151"/>
      <c r="R5" s="151"/>
      <c r="S5" s="152"/>
    </row>
    <row r="6" spans="1:20" ht="17.7" customHeight="1">
      <c r="A6" s="71" t="s">
        <v>97</v>
      </c>
      <c r="B6" s="72"/>
      <c r="C6" s="72"/>
      <c r="D6" s="72"/>
      <c r="E6" s="72"/>
      <c r="F6" s="72"/>
      <c r="G6" s="72"/>
      <c r="H6" s="72"/>
      <c r="I6" s="72"/>
      <c r="J6" s="72"/>
      <c r="K6" s="72"/>
      <c r="L6" s="72"/>
      <c r="M6" s="72"/>
      <c r="N6" s="72"/>
      <c r="O6" s="72"/>
      <c r="P6" s="72"/>
      <c r="Q6" s="72"/>
      <c r="R6" s="72"/>
      <c r="S6" s="68"/>
    </row>
    <row r="7" spans="1:20" ht="17.7" customHeight="1">
      <c r="A7" s="153" t="s">
        <v>98</v>
      </c>
      <c r="B7" s="153"/>
      <c r="C7" s="153"/>
      <c r="D7" s="153"/>
      <c r="E7" s="153"/>
      <c r="F7" s="153"/>
      <c r="G7" s="153"/>
      <c r="H7" s="153"/>
      <c r="I7" s="153"/>
      <c r="J7" s="153"/>
      <c r="K7" s="153"/>
      <c r="L7" s="153"/>
      <c r="M7" s="153"/>
      <c r="N7" s="153"/>
      <c r="O7" s="154"/>
      <c r="P7" s="155" t="s">
        <v>99</v>
      </c>
      <c r="Q7" s="156"/>
      <c r="R7" s="156"/>
      <c r="S7" s="157"/>
    </row>
    <row r="8" spans="1:20" ht="45.3" customHeight="1">
      <c r="A8" s="222" t="s">
        <v>100</v>
      </c>
      <c r="B8" s="159"/>
      <c r="C8" s="159"/>
      <c r="D8" s="160"/>
      <c r="E8" s="222" t="s">
        <v>101</v>
      </c>
      <c r="F8" s="159"/>
      <c r="G8" s="159"/>
      <c r="H8" s="159"/>
      <c r="I8" s="159"/>
      <c r="J8" s="160"/>
      <c r="K8" s="222" t="s">
        <v>102</v>
      </c>
      <c r="L8" s="159"/>
      <c r="M8" s="159"/>
      <c r="N8" s="160"/>
      <c r="O8" s="222" t="s">
        <v>103</v>
      </c>
      <c r="P8" s="159"/>
      <c r="Q8" s="160"/>
      <c r="R8" s="220" t="s">
        <v>104</v>
      </c>
    </row>
    <row r="9" spans="1:20" ht="17.25" customHeight="1">
      <c r="A9" s="161"/>
      <c r="B9" s="161"/>
      <c r="C9" s="161"/>
      <c r="D9" s="161"/>
      <c r="E9" s="161"/>
      <c r="F9" s="161"/>
      <c r="G9" s="161"/>
      <c r="H9" s="161"/>
      <c r="I9" s="161"/>
      <c r="J9" s="161"/>
      <c r="K9" s="161"/>
      <c r="L9" s="161"/>
      <c r="M9" s="161"/>
      <c r="N9" s="161"/>
      <c r="O9" s="161"/>
      <c r="P9" s="161"/>
      <c r="Q9" s="161"/>
      <c r="R9" s="161"/>
    </row>
    <row r="10" spans="1:20" ht="17.25" customHeight="1">
      <c r="A10" s="132"/>
      <c r="B10" s="133"/>
      <c r="C10" s="133"/>
      <c r="D10" s="133"/>
      <c r="E10" s="133"/>
      <c r="F10" s="133"/>
      <c r="G10" s="133"/>
      <c r="H10" s="133"/>
      <c r="I10" s="133"/>
      <c r="J10" s="133"/>
      <c r="K10" s="133"/>
      <c r="L10" s="133"/>
      <c r="M10" s="133"/>
      <c r="N10" s="133"/>
      <c r="O10" s="133"/>
      <c r="P10" s="133"/>
      <c r="Q10" s="133"/>
      <c r="R10" s="134"/>
    </row>
    <row r="11" spans="1:20" ht="17.25" customHeight="1">
      <c r="A11" s="129" t="s">
        <v>105</v>
      </c>
      <c r="B11" s="130"/>
      <c r="C11" s="130"/>
      <c r="D11" s="130"/>
      <c r="E11" s="130"/>
      <c r="F11" s="130"/>
      <c r="G11" s="130"/>
      <c r="H11" s="130"/>
      <c r="I11" s="130"/>
      <c r="J11" s="130"/>
      <c r="K11" s="130"/>
      <c r="L11" s="130"/>
      <c r="M11" s="130"/>
      <c r="N11" s="130"/>
      <c r="O11" s="130"/>
      <c r="P11" s="130"/>
      <c r="Q11" s="130"/>
      <c r="R11" s="131"/>
    </row>
    <row r="12" spans="1:20" ht="17.25" customHeight="1">
      <c r="A12" s="162" t="s">
        <v>106</v>
      </c>
      <c r="B12" s="163"/>
      <c r="C12" s="163"/>
      <c r="D12" s="163"/>
      <c r="E12" s="163"/>
      <c r="F12" s="163"/>
      <c r="G12" s="164"/>
      <c r="H12" s="162" t="s">
        <v>107</v>
      </c>
      <c r="I12" s="163"/>
      <c r="J12" s="163"/>
      <c r="K12" s="163"/>
      <c r="L12" s="163"/>
      <c r="M12" s="163"/>
      <c r="N12" s="163"/>
      <c r="O12" s="163"/>
      <c r="P12" s="164"/>
      <c r="Q12" s="162" t="s">
        <v>108</v>
      </c>
      <c r="R12" s="164"/>
    </row>
    <row r="13" spans="1:20" ht="17.25" customHeight="1">
      <c r="A13" s="83" t="s">
        <v>15</v>
      </c>
      <c r="B13" s="84"/>
      <c r="C13" s="84"/>
      <c r="D13" s="84"/>
      <c r="E13" s="84"/>
      <c r="F13" s="84"/>
      <c r="G13" s="85"/>
      <c r="H13" s="83" t="s">
        <v>22</v>
      </c>
      <c r="I13" s="84"/>
      <c r="J13" s="84"/>
      <c r="K13" s="84"/>
      <c r="L13" s="84"/>
      <c r="M13" s="84"/>
      <c r="N13" s="84"/>
      <c r="O13" s="84"/>
      <c r="P13" s="85"/>
      <c r="Q13" s="86">
        <v>7350840980</v>
      </c>
      <c r="R13" s="165"/>
    </row>
    <row r="14" spans="1:20" ht="17.25" customHeight="1">
      <c r="A14" s="129" t="s">
        <v>109</v>
      </c>
      <c r="B14" s="130"/>
      <c r="C14" s="130"/>
      <c r="D14" s="130"/>
      <c r="E14" s="130"/>
      <c r="F14" s="130"/>
      <c r="G14" s="130"/>
      <c r="H14" s="130"/>
      <c r="I14" s="130"/>
      <c r="J14" s="130"/>
      <c r="K14" s="130"/>
      <c r="L14" s="130"/>
      <c r="M14" s="130"/>
      <c r="N14" s="130"/>
      <c r="O14" s="130"/>
      <c r="P14" s="130"/>
      <c r="Q14" s="130"/>
      <c r="R14" s="131"/>
    </row>
    <row r="15" spans="1:20" ht="17.25" customHeight="1">
      <c r="A15" s="162" t="s">
        <v>110</v>
      </c>
      <c r="B15" s="163"/>
      <c r="C15" s="163"/>
      <c r="D15" s="163"/>
      <c r="E15" s="163"/>
      <c r="F15" s="163"/>
      <c r="G15" s="164"/>
      <c r="H15" s="162" t="s">
        <v>21</v>
      </c>
      <c r="I15" s="163"/>
      <c r="J15" s="163"/>
      <c r="K15" s="163"/>
      <c r="L15" s="163"/>
      <c r="M15" s="163"/>
      <c r="N15" s="163"/>
      <c r="O15" s="163"/>
      <c r="P15" s="164"/>
      <c r="Q15" s="162" t="s">
        <v>111</v>
      </c>
      <c r="R15" s="164"/>
    </row>
    <row r="16" spans="1:20" ht="17.25" customHeight="1">
      <c r="A16" s="83" t="s">
        <v>112</v>
      </c>
      <c r="B16" s="84"/>
      <c r="C16" s="84"/>
      <c r="D16" s="84"/>
      <c r="E16" s="84"/>
      <c r="F16" s="84"/>
      <c r="G16" s="85"/>
      <c r="H16" s="83" t="s">
        <v>113</v>
      </c>
      <c r="I16" s="84"/>
      <c r="J16" s="84"/>
      <c r="K16" s="84"/>
      <c r="L16" s="84"/>
      <c r="M16" s="84"/>
      <c r="N16" s="84"/>
      <c r="O16" s="84"/>
      <c r="P16" s="85"/>
      <c r="Q16" s="86">
        <v>8530007125</v>
      </c>
      <c r="R16" s="165"/>
    </row>
    <row r="17" spans="1:18" ht="17.25" customHeight="1">
      <c r="A17" s="129" t="s">
        <v>114</v>
      </c>
      <c r="B17" s="130"/>
      <c r="C17" s="130"/>
      <c r="D17" s="130"/>
      <c r="E17" s="130"/>
      <c r="F17" s="130"/>
      <c r="G17" s="130"/>
      <c r="H17" s="130"/>
      <c r="I17" s="130"/>
      <c r="J17" s="130"/>
      <c r="K17" s="130"/>
      <c r="L17" s="130"/>
      <c r="M17" s="130"/>
      <c r="N17" s="130"/>
      <c r="O17" s="130"/>
      <c r="P17" s="130"/>
      <c r="Q17" s="130"/>
      <c r="R17" s="131"/>
    </row>
    <row r="18" spans="1:18" ht="17.25" customHeight="1">
      <c r="A18" s="162" t="s">
        <v>115</v>
      </c>
      <c r="B18" s="163"/>
      <c r="C18" s="163"/>
      <c r="D18" s="163"/>
      <c r="E18" s="163"/>
      <c r="F18" s="163"/>
      <c r="G18" s="164"/>
      <c r="H18" s="162" t="s">
        <v>21</v>
      </c>
      <c r="I18" s="163"/>
      <c r="J18" s="163"/>
      <c r="K18" s="163"/>
      <c r="L18" s="163"/>
      <c r="M18" s="163"/>
      <c r="N18" s="163"/>
      <c r="O18" s="163"/>
      <c r="P18" s="164"/>
      <c r="Q18" s="162" t="s">
        <v>111</v>
      </c>
      <c r="R18" s="164"/>
    </row>
    <row r="19" spans="1:18" ht="17.25" customHeight="1">
      <c r="A19" s="83" t="s">
        <v>116</v>
      </c>
      <c r="B19" s="84"/>
      <c r="C19" s="84"/>
      <c r="D19" s="84"/>
      <c r="E19" s="84"/>
      <c r="F19" s="84"/>
      <c r="G19" s="85"/>
      <c r="H19" s="83" t="s">
        <v>117</v>
      </c>
      <c r="I19" s="84"/>
      <c r="J19" s="84"/>
      <c r="K19" s="84"/>
      <c r="L19" s="84"/>
      <c r="M19" s="84"/>
      <c r="N19" s="84"/>
      <c r="O19" s="84"/>
      <c r="P19" s="85"/>
      <c r="Q19" s="86">
        <v>8426013087</v>
      </c>
      <c r="R19" s="165"/>
    </row>
    <row r="20" spans="1:18" ht="25.2" customHeight="1">
      <c r="A20" s="129" t="s">
        <v>118</v>
      </c>
      <c r="B20" s="130"/>
      <c r="C20" s="130"/>
      <c r="D20" s="130"/>
      <c r="E20" s="130"/>
      <c r="F20" s="130"/>
      <c r="G20" s="130"/>
      <c r="H20" s="130"/>
      <c r="I20" s="130"/>
      <c r="J20" s="130"/>
      <c r="K20" s="130"/>
      <c r="L20" s="130"/>
      <c r="M20" s="130"/>
      <c r="N20" s="130"/>
      <c r="O20" s="130"/>
      <c r="P20" s="130"/>
      <c r="Q20" s="130"/>
      <c r="R20" s="131"/>
    </row>
    <row r="21" spans="1:18" ht="25.2" customHeight="1">
      <c r="A21" s="166">
        <v>1</v>
      </c>
      <c r="B21" s="167"/>
      <c r="C21" s="162" t="s">
        <v>119</v>
      </c>
      <c r="D21" s="163"/>
      <c r="E21" s="163"/>
      <c r="F21" s="163"/>
      <c r="G21" s="163"/>
      <c r="H21" s="164"/>
      <c r="I21" s="63" t="s">
        <v>120</v>
      </c>
      <c r="J21" s="168"/>
      <c r="K21" s="168"/>
      <c r="L21" s="168"/>
      <c r="M21" s="168"/>
      <c r="N21" s="168"/>
      <c r="O21" s="168"/>
      <c r="P21" s="168"/>
      <c r="Q21" s="168"/>
      <c r="R21" s="64"/>
    </row>
    <row r="22" spans="1:18" ht="39.299999999999997" customHeight="1">
      <c r="A22" s="169">
        <v>2</v>
      </c>
      <c r="B22" s="170"/>
      <c r="C22" s="171" t="s">
        <v>121</v>
      </c>
      <c r="D22" s="172"/>
      <c r="E22" s="172"/>
      <c r="F22" s="172"/>
      <c r="G22" s="172"/>
      <c r="H22" s="173"/>
      <c r="I22" s="158" t="s">
        <v>122</v>
      </c>
      <c r="J22" s="159"/>
      <c r="K22" s="159"/>
      <c r="L22" s="159"/>
      <c r="M22" s="159"/>
      <c r="N22" s="159"/>
      <c r="O22" s="159"/>
      <c r="P22" s="159"/>
      <c r="Q22" s="159"/>
      <c r="R22" s="160"/>
    </row>
    <row r="23" spans="1:18" ht="78" customHeight="1">
      <c r="A23" s="174"/>
      <c r="B23" s="175"/>
      <c r="C23" s="174"/>
      <c r="D23" s="176"/>
      <c r="E23" s="176"/>
      <c r="F23" s="176"/>
      <c r="G23" s="176"/>
      <c r="H23" s="175"/>
      <c r="I23" s="174" t="s">
        <v>123</v>
      </c>
      <c r="J23" s="176"/>
      <c r="K23" s="176"/>
      <c r="L23" s="176"/>
      <c r="M23" s="176"/>
      <c r="N23" s="176"/>
      <c r="O23" s="176"/>
      <c r="P23" s="176"/>
      <c r="Q23" s="176"/>
      <c r="R23" s="175"/>
    </row>
    <row r="24" spans="1:18" ht="54.3" customHeight="1">
      <c r="A24" s="166">
        <v>3</v>
      </c>
      <c r="B24" s="167"/>
      <c r="C24" s="162" t="s">
        <v>124</v>
      </c>
      <c r="D24" s="163"/>
      <c r="E24" s="163"/>
      <c r="F24" s="163"/>
      <c r="G24" s="163"/>
      <c r="H24" s="164"/>
      <c r="I24" s="63" t="s">
        <v>125</v>
      </c>
      <c r="J24" s="168"/>
      <c r="K24" s="168"/>
      <c r="L24" s="168"/>
      <c r="M24" s="168"/>
      <c r="N24" s="168"/>
      <c r="O24" s="168"/>
      <c r="P24" s="168"/>
      <c r="Q24" s="168"/>
      <c r="R24" s="64"/>
    </row>
    <row r="25" spans="1:18" ht="170.55" customHeight="1">
      <c r="A25" s="166">
        <v>4</v>
      </c>
      <c r="B25" s="167"/>
      <c r="C25" s="162" t="s">
        <v>126</v>
      </c>
      <c r="D25" s="163"/>
      <c r="E25" s="163"/>
      <c r="F25" s="163"/>
      <c r="G25" s="163"/>
      <c r="H25" s="164"/>
      <c r="I25" s="63" t="s">
        <v>127</v>
      </c>
      <c r="J25" s="168"/>
      <c r="K25" s="168"/>
      <c r="L25" s="168"/>
      <c r="M25" s="168"/>
      <c r="N25" s="168"/>
      <c r="O25" s="168"/>
      <c r="P25" s="168"/>
      <c r="Q25" s="168"/>
      <c r="R25" s="64"/>
    </row>
    <row r="26" spans="1:18" ht="78.45" customHeight="1">
      <c r="A26" s="166">
        <v>5</v>
      </c>
      <c r="B26" s="167"/>
      <c r="C26" s="162" t="s">
        <v>128</v>
      </c>
      <c r="D26" s="163"/>
      <c r="E26" s="163"/>
      <c r="F26" s="163"/>
      <c r="G26" s="163"/>
      <c r="H26" s="164"/>
      <c r="I26" s="63" t="s">
        <v>129</v>
      </c>
      <c r="J26" s="168"/>
      <c r="K26" s="168"/>
      <c r="L26" s="168"/>
      <c r="M26" s="168"/>
      <c r="N26" s="168"/>
      <c r="O26" s="168"/>
      <c r="P26" s="168"/>
      <c r="Q26" s="168"/>
      <c r="R26" s="64"/>
    </row>
    <row r="27" spans="1:18" ht="78.45" customHeight="1">
      <c r="A27" s="166">
        <v>6</v>
      </c>
      <c r="B27" s="167"/>
      <c r="C27" s="162" t="s">
        <v>130</v>
      </c>
      <c r="D27" s="163"/>
      <c r="E27" s="163"/>
      <c r="F27" s="163"/>
      <c r="G27" s="163"/>
      <c r="H27" s="164"/>
      <c r="I27" s="63" t="s">
        <v>131</v>
      </c>
      <c r="J27" s="168"/>
      <c r="K27" s="168"/>
      <c r="L27" s="168"/>
      <c r="M27" s="168"/>
      <c r="N27" s="168"/>
      <c r="O27" s="168"/>
      <c r="P27" s="168"/>
      <c r="Q27" s="168"/>
      <c r="R27" s="64"/>
    </row>
    <row r="28" spans="1:18" ht="64.2" customHeight="1">
      <c r="A28" s="166">
        <v>7</v>
      </c>
      <c r="B28" s="167"/>
      <c r="C28" s="162" t="s">
        <v>132</v>
      </c>
      <c r="D28" s="163"/>
      <c r="E28" s="163"/>
      <c r="F28" s="163"/>
      <c r="G28" s="163"/>
      <c r="H28" s="164"/>
      <c r="I28" s="63" t="s">
        <v>133</v>
      </c>
      <c r="J28" s="168"/>
      <c r="K28" s="168"/>
      <c r="L28" s="168"/>
      <c r="M28" s="168"/>
      <c r="N28" s="168"/>
      <c r="O28" s="168"/>
      <c r="P28" s="168"/>
      <c r="Q28" s="168"/>
      <c r="R28" s="64"/>
    </row>
    <row r="29" spans="1:18" ht="64.2" customHeight="1">
      <c r="A29" s="166">
        <v>8</v>
      </c>
      <c r="B29" s="167"/>
      <c r="C29" s="162" t="s">
        <v>134</v>
      </c>
      <c r="D29" s="163"/>
      <c r="E29" s="163"/>
      <c r="F29" s="163"/>
      <c r="G29" s="163"/>
      <c r="H29" s="164"/>
      <c r="I29" s="63" t="s">
        <v>135</v>
      </c>
      <c r="J29" s="168"/>
      <c r="K29" s="168"/>
      <c r="L29" s="168"/>
      <c r="M29" s="168"/>
      <c r="N29" s="168"/>
      <c r="O29" s="168"/>
      <c r="P29" s="168"/>
      <c r="Q29" s="168"/>
      <c r="R29" s="64"/>
    </row>
    <row r="30" spans="1:18" ht="39.299999999999997" customHeight="1">
      <c r="A30" s="169">
        <v>9</v>
      </c>
      <c r="B30" s="170"/>
      <c r="C30" s="171" t="s">
        <v>136</v>
      </c>
      <c r="D30" s="172"/>
      <c r="E30" s="172"/>
      <c r="F30" s="172"/>
      <c r="G30" s="172"/>
      <c r="H30" s="173"/>
      <c r="I30" s="158" t="s">
        <v>137</v>
      </c>
      <c r="J30" s="159"/>
      <c r="K30" s="159"/>
      <c r="L30" s="159"/>
      <c r="M30" s="159"/>
      <c r="N30" s="159"/>
      <c r="O30" s="159"/>
      <c r="P30" s="159"/>
      <c r="Q30" s="159"/>
      <c r="R30" s="160"/>
    </row>
    <row r="31" spans="1:18" ht="78" customHeight="1">
      <c r="A31" s="174"/>
      <c r="B31" s="175"/>
      <c r="C31" s="174"/>
      <c r="D31" s="176"/>
      <c r="E31" s="176"/>
      <c r="F31" s="176"/>
      <c r="G31" s="176"/>
      <c r="H31" s="175"/>
      <c r="I31" s="174" t="s">
        <v>138</v>
      </c>
      <c r="J31" s="176"/>
      <c r="K31" s="176"/>
      <c r="L31" s="176"/>
      <c r="M31" s="176"/>
      <c r="N31" s="176"/>
      <c r="O31" s="176"/>
      <c r="P31" s="176"/>
      <c r="Q31" s="176"/>
      <c r="R31" s="175"/>
    </row>
    <row r="32" spans="1:18" ht="39.75" customHeight="1">
      <c r="A32" s="166">
        <v>10</v>
      </c>
      <c r="B32" s="167"/>
      <c r="C32" s="63" t="s">
        <v>139</v>
      </c>
      <c r="D32" s="168"/>
      <c r="E32" s="168"/>
      <c r="F32" s="168"/>
      <c r="G32" s="168"/>
      <c r="H32" s="64"/>
      <c r="I32" s="83" t="s">
        <v>140</v>
      </c>
      <c r="J32" s="84"/>
      <c r="K32" s="84"/>
      <c r="L32" s="84"/>
      <c r="M32" s="84"/>
      <c r="N32" s="84"/>
      <c r="O32" s="84"/>
      <c r="P32" s="84"/>
      <c r="Q32" s="84"/>
      <c r="R32" s="85"/>
    </row>
    <row r="33" spans="1:18" ht="131.69999999999999" customHeight="1">
      <c r="A33" s="166">
        <v>11</v>
      </c>
      <c r="B33" s="167"/>
      <c r="C33" s="63" t="s">
        <v>141</v>
      </c>
      <c r="D33" s="168"/>
      <c r="E33" s="168"/>
      <c r="F33" s="168"/>
      <c r="G33" s="168"/>
      <c r="H33" s="64"/>
      <c r="I33" s="63" t="s">
        <v>142</v>
      </c>
      <c r="J33" s="168"/>
      <c r="K33" s="168"/>
      <c r="L33" s="168"/>
      <c r="M33" s="168"/>
      <c r="N33" s="168"/>
      <c r="O33" s="168"/>
      <c r="P33" s="168"/>
      <c r="Q33" s="168"/>
      <c r="R33" s="64"/>
    </row>
    <row r="34" spans="1:18" ht="39.75" customHeight="1">
      <c r="A34" s="166">
        <v>12</v>
      </c>
      <c r="B34" s="167"/>
      <c r="C34" s="63" t="s">
        <v>143</v>
      </c>
      <c r="D34" s="168"/>
      <c r="E34" s="168"/>
      <c r="F34" s="168"/>
      <c r="G34" s="168"/>
      <c r="H34" s="64"/>
      <c r="I34" s="83" t="s">
        <v>144</v>
      </c>
      <c r="J34" s="84"/>
      <c r="K34" s="84"/>
      <c r="L34" s="84"/>
      <c r="M34" s="84"/>
      <c r="N34" s="84"/>
      <c r="O34" s="84"/>
      <c r="P34" s="84"/>
      <c r="Q34" s="84"/>
      <c r="R34" s="85"/>
    </row>
    <row r="35" spans="1:18" ht="78.45" customHeight="1">
      <c r="A35" s="166">
        <v>13</v>
      </c>
      <c r="B35" s="167"/>
      <c r="C35" s="162" t="s">
        <v>145</v>
      </c>
      <c r="D35" s="163"/>
      <c r="E35" s="163"/>
      <c r="F35" s="163"/>
      <c r="G35" s="163"/>
      <c r="H35" s="164"/>
      <c r="I35" s="63" t="s">
        <v>146</v>
      </c>
      <c r="J35" s="168"/>
      <c r="K35" s="168"/>
      <c r="L35" s="168"/>
      <c r="M35" s="168"/>
      <c r="N35" s="168"/>
      <c r="O35" s="168"/>
      <c r="P35" s="168"/>
      <c r="Q35" s="168"/>
      <c r="R35" s="64"/>
    </row>
    <row r="36" spans="1:18" ht="160.5" customHeight="1">
      <c r="A36" s="166">
        <v>14</v>
      </c>
      <c r="B36" s="167"/>
      <c r="C36" s="162" t="s">
        <v>147</v>
      </c>
      <c r="D36" s="163"/>
      <c r="E36" s="163"/>
      <c r="F36" s="163"/>
      <c r="G36" s="163"/>
      <c r="H36" s="164"/>
      <c r="I36" s="63" t="s">
        <v>148</v>
      </c>
      <c r="J36" s="168"/>
      <c r="K36" s="168"/>
      <c r="L36" s="168"/>
      <c r="M36" s="168"/>
      <c r="N36" s="168"/>
      <c r="O36" s="168"/>
      <c r="P36" s="168"/>
      <c r="Q36" s="168"/>
      <c r="R36" s="64"/>
    </row>
    <row r="37" spans="1:18" ht="39.75" customHeight="1">
      <c r="A37" s="166">
        <v>15</v>
      </c>
      <c r="B37" s="167"/>
      <c r="C37" s="162" t="s">
        <v>149</v>
      </c>
      <c r="D37" s="163"/>
      <c r="E37" s="163"/>
      <c r="F37" s="163"/>
      <c r="G37" s="163"/>
      <c r="H37" s="164"/>
      <c r="I37" s="63" t="s">
        <v>150</v>
      </c>
      <c r="J37" s="168"/>
      <c r="K37" s="168"/>
      <c r="L37" s="168"/>
      <c r="M37" s="168"/>
      <c r="N37" s="168"/>
      <c r="O37" s="168"/>
      <c r="P37" s="168"/>
      <c r="Q37" s="168"/>
      <c r="R37" s="64"/>
    </row>
    <row r="38" spans="1:18" ht="49.2" customHeight="1">
      <c r="A38" s="169">
        <v>16</v>
      </c>
      <c r="B38" s="170"/>
      <c r="C38" s="158" t="s">
        <v>151</v>
      </c>
      <c r="D38" s="159"/>
      <c r="E38" s="159"/>
      <c r="F38" s="159"/>
      <c r="G38" s="159"/>
      <c r="H38" s="160"/>
      <c r="I38" s="158" t="s">
        <v>152</v>
      </c>
      <c r="J38" s="159"/>
      <c r="K38" s="159"/>
      <c r="L38" s="159"/>
      <c r="M38" s="159"/>
      <c r="N38" s="159"/>
      <c r="O38" s="159"/>
      <c r="P38" s="159"/>
      <c r="Q38" s="159"/>
      <c r="R38" s="160"/>
    </row>
    <row r="39" spans="1:18" ht="286.5" customHeight="1">
      <c r="A39" s="174"/>
      <c r="B39" s="175"/>
      <c r="C39" s="174"/>
      <c r="D39" s="176"/>
      <c r="E39" s="176"/>
      <c r="F39" s="176"/>
      <c r="G39" s="176"/>
      <c r="H39" s="175"/>
      <c r="I39" s="174" t="s">
        <v>153</v>
      </c>
      <c r="J39" s="176"/>
      <c r="K39" s="176"/>
      <c r="L39" s="176"/>
      <c r="M39" s="176"/>
      <c r="N39" s="176"/>
      <c r="O39" s="176"/>
      <c r="P39" s="176"/>
      <c r="Q39" s="176"/>
      <c r="R39" s="175"/>
    </row>
    <row r="40" spans="1:18" ht="17.25" customHeight="1">
      <c r="A40" s="166">
        <v>17</v>
      </c>
      <c r="B40" s="167"/>
      <c r="C40" s="162" t="s">
        <v>154</v>
      </c>
      <c r="D40" s="163"/>
      <c r="E40" s="163"/>
      <c r="F40" s="163"/>
      <c r="G40" s="163"/>
      <c r="H40" s="164"/>
      <c r="I40" s="177"/>
      <c r="J40" s="178"/>
      <c r="K40" s="178"/>
      <c r="L40" s="178"/>
      <c r="M40" s="178"/>
      <c r="N40" s="178"/>
      <c r="O40" s="178"/>
      <c r="P40" s="178"/>
      <c r="Q40" s="178"/>
      <c r="R40" s="179"/>
    </row>
    <row r="42" spans="1:18" ht="20.399999999999999">
      <c r="C42" s="59" t="s">
        <v>173</v>
      </c>
    </row>
    <row r="43" spans="1:18" ht="20.399999999999999">
      <c r="C43" s="60" t="s">
        <v>174</v>
      </c>
    </row>
    <row r="44" spans="1:18" ht="20.399999999999999">
      <c r="C44" s="60" t="s">
        <v>175</v>
      </c>
    </row>
    <row r="45" spans="1:18" ht="21">
      <c r="C45" s="60" t="s">
        <v>176</v>
      </c>
    </row>
    <row r="46" spans="1:18" ht="20.399999999999999">
      <c r="C46" s="60" t="s">
        <v>177</v>
      </c>
    </row>
    <row r="47" spans="1:18" ht="20.399999999999999">
      <c r="C47" s="60" t="s">
        <v>178</v>
      </c>
    </row>
    <row r="48" spans="1:18" ht="20.399999999999999">
      <c r="C48" s="60" t="s">
        <v>179</v>
      </c>
    </row>
    <row r="49" spans="3:3" ht="20.399999999999999">
      <c r="C49" s="60" t="s">
        <v>180</v>
      </c>
    </row>
    <row r="50" spans="3:3" ht="20.399999999999999">
      <c r="C50" s="60" t="s">
        <v>181</v>
      </c>
    </row>
    <row r="51" spans="3:3" ht="20.399999999999999">
      <c r="C51" s="60"/>
    </row>
    <row r="52" spans="3:3" ht="20.399999999999999">
      <c r="C52" s="61" t="s">
        <v>182</v>
      </c>
    </row>
    <row r="53" spans="3:3" ht="20.399999999999999">
      <c r="C53" s="60" t="s">
        <v>184</v>
      </c>
    </row>
    <row r="54" spans="3:3" ht="20.399999999999999">
      <c r="C54" s="59"/>
    </row>
    <row r="55" spans="3:3" ht="20.399999999999999">
      <c r="C55" s="59"/>
    </row>
    <row r="56" spans="3:3" ht="20.399999999999999">
      <c r="C56" s="59"/>
    </row>
    <row r="57" spans="3:3" ht="20.399999999999999">
      <c r="C57" s="62" t="s">
        <v>183</v>
      </c>
    </row>
  </sheetData>
  <mergeCells count="111">
    <mergeCell ref="A40:B40"/>
    <mergeCell ref="C40:H40"/>
    <mergeCell ref="I40:R40"/>
    <mergeCell ref="A37:B37"/>
    <mergeCell ref="C37:H37"/>
    <mergeCell ref="I37:R37"/>
    <mergeCell ref="A38:B38"/>
    <mergeCell ref="C38:H38"/>
    <mergeCell ref="I38:R38"/>
    <mergeCell ref="A39:B39"/>
    <mergeCell ref="C39:H39"/>
    <mergeCell ref="I39:R39"/>
    <mergeCell ref="A34:B34"/>
    <mergeCell ref="C34:H34"/>
    <mergeCell ref="I34:R34"/>
    <mergeCell ref="A35:B35"/>
    <mergeCell ref="C35:H35"/>
    <mergeCell ref="I35:R35"/>
    <mergeCell ref="A36:B36"/>
    <mergeCell ref="C36:H36"/>
    <mergeCell ref="I36:R36"/>
    <mergeCell ref="A31:B31"/>
    <mergeCell ref="C31:H31"/>
    <mergeCell ref="I31:R31"/>
    <mergeCell ref="A32:B32"/>
    <mergeCell ref="C32:H32"/>
    <mergeCell ref="I32:R32"/>
    <mergeCell ref="A33:B33"/>
    <mergeCell ref="C33:H33"/>
    <mergeCell ref="I33:R33"/>
    <mergeCell ref="A28:B28"/>
    <mergeCell ref="C28:H28"/>
    <mergeCell ref="I28:R28"/>
    <mergeCell ref="A29:B29"/>
    <mergeCell ref="C29:H29"/>
    <mergeCell ref="I29:R29"/>
    <mergeCell ref="A30:B30"/>
    <mergeCell ref="C30:H30"/>
    <mergeCell ref="I30:R30"/>
    <mergeCell ref="A25:B25"/>
    <mergeCell ref="C25:H25"/>
    <mergeCell ref="I25:R25"/>
    <mergeCell ref="A26:B26"/>
    <mergeCell ref="C26:H26"/>
    <mergeCell ref="I26:R26"/>
    <mergeCell ref="A27:B27"/>
    <mergeCell ref="C27:H27"/>
    <mergeCell ref="I27:R27"/>
    <mergeCell ref="A22:B22"/>
    <mergeCell ref="C22:H22"/>
    <mergeCell ref="I22:R22"/>
    <mergeCell ref="A23:B23"/>
    <mergeCell ref="C23:H23"/>
    <mergeCell ref="I23:R23"/>
    <mergeCell ref="A24:B24"/>
    <mergeCell ref="C24:H24"/>
    <mergeCell ref="I24:R24"/>
    <mergeCell ref="A17:R17"/>
    <mergeCell ref="A18:G18"/>
    <mergeCell ref="H18:P18"/>
    <mergeCell ref="Q18:R18"/>
    <mergeCell ref="A19:G19"/>
    <mergeCell ref="H19:P19"/>
    <mergeCell ref="Q19:R19"/>
    <mergeCell ref="A20:R20"/>
    <mergeCell ref="A21:B21"/>
    <mergeCell ref="C21:H21"/>
    <mergeCell ref="I21:R21"/>
    <mergeCell ref="A13:G13"/>
    <mergeCell ref="H13:P13"/>
    <mergeCell ref="Q13:R13"/>
    <mergeCell ref="A14:R14"/>
    <mergeCell ref="A15:G15"/>
    <mergeCell ref="H15:P15"/>
    <mergeCell ref="Q15:R15"/>
    <mergeCell ref="A16:G16"/>
    <mergeCell ref="H16:P16"/>
    <mergeCell ref="Q16:R16"/>
    <mergeCell ref="P7:S7"/>
    <mergeCell ref="A8:D8"/>
    <mergeCell ref="E8:J8"/>
    <mergeCell ref="K8:N8"/>
    <mergeCell ref="O8:Q8"/>
    <mergeCell ref="A9:R9"/>
    <mergeCell ref="A12:G12"/>
    <mergeCell ref="H12:P12"/>
    <mergeCell ref="Q12:R12"/>
    <mergeCell ref="A11:R11"/>
    <mergeCell ref="A10:R10"/>
    <mergeCell ref="A1:T1"/>
    <mergeCell ref="B2:C2"/>
    <mergeCell ref="D2:E2"/>
    <mergeCell ref="G2:I2"/>
    <mergeCell ref="J2:K2"/>
    <mergeCell ref="N2:O2"/>
    <mergeCell ref="P2:S2"/>
    <mergeCell ref="B3:C3"/>
    <mergeCell ref="D3:E3"/>
    <mergeCell ref="G3:I3"/>
    <mergeCell ref="J3:K3"/>
    <mergeCell ref="N3:O3"/>
    <mergeCell ref="P3:S3"/>
    <mergeCell ref="A4:S4"/>
    <mergeCell ref="B5:C5"/>
    <mergeCell ref="D5:E5"/>
    <mergeCell ref="G5:I5"/>
    <mergeCell ref="J5:K5"/>
    <mergeCell ref="N5:O5"/>
    <mergeCell ref="P5:S5"/>
    <mergeCell ref="A6:S6"/>
    <mergeCell ref="A7:O7"/>
  </mergeCells>
  <hyperlinks>
    <hyperlink ref="H13" r:id="rId1" display="mailto:kanhu1971@gmail.com"/>
    <hyperlink ref="H16" r:id="rId2" display="mailto:ashish.rajpurohit@jaquar.com"/>
    <hyperlink ref="H19" r:id="rId3" display="mailto:kiran.jagtap@jaquar.com"/>
    <hyperlink ref="I31" r:id="rId4" display="mailto:KPAM@jaquar.com"/>
    <hyperlink ref="I35" r:id="rId5" display="http://www.jaquar.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1</vt:lpstr>
      <vt:lpstr>Master PO</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cp:lastPrinted>2025-12-18T10:05:46Z</cp:lastPrinted>
  <dcterms:created xsi:type="dcterms:W3CDTF">2025-12-11T12:34:17Z</dcterms:created>
  <dcterms:modified xsi:type="dcterms:W3CDTF">2025-12-18T10:06:08Z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2025-12-11T00:00:00Z</vt:filetime>
  </property>
  <property fmtid="{D5CDD505-2E9C-101B-9397-08002B2CF9AE}" pid="3" name="Creator">
    <vt:lpwstr>Apache FOP Version 2.2</vt:lpwstr>
  </property>
  <property fmtid="{D5CDD505-2E9C-101B-9397-08002B2CF9AE}" pid="4" name="Producer">
    <vt:lpwstr>Apache FOP Version 2.2</vt:lpwstr>
  </property>
  <property fmtid="{D5CDD505-2E9C-101B-9397-08002B2CF9AE}" pid="5" name="LastSaved">
    <vt:filetime>2025-12-11T00:00:00Z</vt:filetime>
  </property>
</Properties>
</file>