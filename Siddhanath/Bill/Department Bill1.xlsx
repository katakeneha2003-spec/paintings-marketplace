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7" i="2" l="1"/>
  <c r="E27" i="2"/>
  <c r="D27" i="2"/>
  <c r="D41" i="1"/>
  <c r="E43" i="1" s="1"/>
  <c r="G43" i="1" s="1"/>
  <c r="F41" i="1"/>
  <c r="E41" i="1"/>
  <c r="E44" i="1" l="1"/>
  <c r="G44" i="1" s="1"/>
  <c r="E45" i="1"/>
  <c r="G45" i="1" s="1"/>
  <c r="G46" i="1" l="1"/>
  <c r="G48" i="1" s="1"/>
  <c r="G50" i="1" s="1"/>
  <c r="G49" i="1" l="1"/>
  <c r="G51" i="1" s="1"/>
</calcChain>
</file>

<file path=xl/sharedStrings.xml><?xml version="1.0" encoding="utf-8"?>
<sst xmlns="http://schemas.openxmlformats.org/spreadsheetml/2006/main" count="39" uniqueCount="28">
  <si>
    <t>AMOL JAGTAP</t>
  </si>
  <si>
    <t>At Post Katraj, Tal- Haveli,Pune.  Contact No. :- 9594532805</t>
  </si>
  <si>
    <t>PAN NO. AMJPJ9923C</t>
  </si>
  <si>
    <t>INVOICE</t>
  </si>
  <si>
    <t>Department labour supply Bill</t>
  </si>
  <si>
    <t>Bill No.- 35</t>
  </si>
  <si>
    <t>Date:- 01-12-2025</t>
  </si>
  <si>
    <t>To,</t>
  </si>
  <si>
    <t>Himmat land Holdings Pvt. Ltd</t>
  </si>
  <si>
    <t>GSTN- 27AAACH4568F1ZK</t>
  </si>
  <si>
    <t>Site Address :- UNNATI ASTRIA, S.no 8/157/7, Mukuundnagar, Pune</t>
  </si>
  <si>
    <t>Work Nature :- Department Labour Payment for Month of October 2025</t>
  </si>
  <si>
    <t>SR.NO</t>
  </si>
  <si>
    <t>DATE</t>
  </si>
  <si>
    <t>M/C</t>
  </si>
  <si>
    <t>F/C</t>
  </si>
  <si>
    <t>REMARK</t>
  </si>
  <si>
    <t>Debit</t>
  </si>
  <si>
    <t>TOTAL</t>
  </si>
  <si>
    <t>Total Bill Amount (A)</t>
  </si>
  <si>
    <t>Add 10% Contractors profit on ( A)</t>
  </si>
  <si>
    <t>Present Bill Amount (B)</t>
  </si>
  <si>
    <t>Add CGST 9% on (B)</t>
  </si>
  <si>
    <t xml:space="preserve">Total Payble Amount (C) </t>
  </si>
  <si>
    <t>Mason</t>
  </si>
  <si>
    <t>Mason Brick/Plaster</t>
  </si>
  <si>
    <t>In words:- Eighty Four Thousand One Hundred Rupees Only</t>
  </si>
  <si>
    <t>Work Nature :- Department Work for Month of November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</si>
</sst>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[$₹-4009]\ * #,##0.00_ ;_ [$₹-4009]\ * \-#,##0.00_ ;_ [$₹-4009]\ * &quot;-&quot;??_ ;_ @_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 Light"/>
      <family val="1"/>
      <scheme val="major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9" xfId="0" applyBorder="1"/>
    <xf numFmtId="0" fontId="0" fillId="0" borderId="20" xfId="0" applyBorder="1" applyAlignment="1">
      <alignment horizontal="center"/>
    </xf>
    <xf numFmtId="0" fontId="0" fillId="0" borderId="20" xfId="0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0" xfId="0" applyBorder="1" applyAlignment="1">
      <alignment horizontal="right" vertical="center"/>
    </xf>
    <xf numFmtId="0" fontId="0" fillId="0" borderId="31" xfId="0" applyBorder="1" applyAlignment="1">
      <alignment horizontal="right" vertical="center"/>
    </xf>
    <xf numFmtId="164" fontId="0" fillId="0" borderId="32" xfId="0" applyNumberFormat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164" fontId="0" fillId="0" borderId="33" xfId="0" applyNumberFormat="1" applyBorder="1" applyAlignment="1">
      <alignment horizontal="center" vertical="center"/>
    </xf>
    <xf numFmtId="0" fontId="4" fillId="0" borderId="34" xfId="0" applyFont="1" applyBorder="1" applyAlignment="1">
      <alignment horizontal="left" vertical="center"/>
    </xf>
    <xf numFmtId="0" fontId="0" fillId="0" borderId="35" xfId="0" applyBorder="1" applyAlignment="1">
      <alignment horizontal="center"/>
    </xf>
    <xf numFmtId="0" fontId="4" fillId="0" borderId="35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64" fontId="4" fillId="0" borderId="13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14" fontId="0" fillId="0" borderId="20" xfId="0" applyNumberFormat="1" applyBorder="1" applyAlignment="1">
      <alignment horizontal="center" vertical="center"/>
    </xf>
    <xf numFmtId="14" fontId="0" fillId="0" borderId="24" xfId="0" applyNumberForma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0" fillId="0" borderId="36" xfId="0" applyBorder="1" applyAlignment="1">
      <alignment horizontal="right" vertical="center" wrapText="1"/>
    </xf>
    <xf numFmtId="0" fontId="0" fillId="0" borderId="38" xfId="0" applyBorder="1" applyAlignment="1">
      <alignment horizontal="right" vertical="center" wrapText="1"/>
    </xf>
    <xf numFmtId="0" fontId="0" fillId="0" borderId="37" xfId="0" applyBorder="1" applyAlignment="1">
      <alignment horizontal="right" vertical="center" wrapText="1"/>
    </xf>
    <xf numFmtId="0" fontId="0" fillId="0" borderId="39" xfId="0" applyBorder="1" applyAlignment="1">
      <alignment horizontal="right" vertical="center" wrapText="1"/>
    </xf>
    <xf numFmtId="0" fontId="0" fillId="0" borderId="40" xfId="0" applyBorder="1" applyAlignment="1">
      <alignment horizontal="right" vertical="center" wrapText="1"/>
    </xf>
    <xf numFmtId="0" fontId="0" fillId="0" borderId="41" xfId="0" applyBorder="1" applyAlignment="1">
      <alignment horizontal="right" vertical="center" wrapText="1"/>
    </xf>
    <xf numFmtId="0" fontId="0" fillId="0" borderId="29" xfId="0" applyBorder="1"/>
    <xf numFmtId="0" fontId="0" fillId="0" borderId="23" xfId="0" applyBorder="1" applyAlignment="1">
      <alignment horizontal="center"/>
    </xf>
    <xf numFmtId="0" fontId="0" fillId="0" borderId="23" xfId="0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53"/>
  <sheetViews>
    <sheetView workbookViewId="0">
      <selection sqref="A1:XFD1048576"/>
    </sheetView>
  </sheetViews>
  <sheetFormatPr defaultRowHeight="14.4" x14ac:dyDescent="0.3"/>
  <cols>
    <col min="2" max="2" width="11.33203125" customWidth="1"/>
    <col min="3" max="4" width="12.44140625" customWidth="1"/>
    <col min="5" max="5" width="13.44140625" customWidth="1"/>
    <col min="6" max="6" width="12" customWidth="1"/>
    <col min="7" max="7" width="19.5546875" customWidth="1"/>
  </cols>
  <sheetData>
    <row r="3" spans="1:8" ht="15" thickBot="1" x14ac:dyDescent="0.35">
      <c r="E3" s="1"/>
      <c r="F3" s="1"/>
      <c r="G3" s="1"/>
    </row>
    <row r="4" spans="1:8" ht="17.399999999999999" x14ac:dyDescent="0.3">
      <c r="A4" s="2" t="s">
        <v>0</v>
      </c>
      <c r="B4" s="3"/>
      <c r="C4" s="3"/>
      <c r="D4" s="3"/>
      <c r="E4" s="3"/>
      <c r="F4" s="3"/>
      <c r="G4" s="4"/>
    </row>
    <row r="5" spans="1:8" x14ac:dyDescent="0.3">
      <c r="A5" s="5" t="s">
        <v>1</v>
      </c>
      <c r="B5" s="6"/>
      <c r="C5" s="6"/>
      <c r="D5" s="6"/>
      <c r="E5" s="6"/>
      <c r="F5" s="6"/>
      <c r="G5" s="7"/>
    </row>
    <row r="6" spans="1:8" ht="15" thickBot="1" x14ac:dyDescent="0.35">
      <c r="A6" s="8" t="s">
        <v>2</v>
      </c>
      <c r="B6" s="9"/>
      <c r="C6" s="9"/>
      <c r="D6" s="9"/>
      <c r="E6" s="9"/>
      <c r="F6" s="9"/>
      <c r="G6" s="10"/>
    </row>
    <row r="7" spans="1:8" ht="15.6" x14ac:dyDescent="0.3">
      <c r="A7" s="11" t="s">
        <v>3</v>
      </c>
      <c r="B7" s="11"/>
      <c r="C7" s="11"/>
      <c r="D7" s="11"/>
      <c r="E7" s="11"/>
      <c r="F7" s="11"/>
      <c r="G7" s="11"/>
    </row>
    <row r="8" spans="1:8" x14ac:dyDescent="0.3">
      <c r="A8" s="12" t="s">
        <v>4</v>
      </c>
      <c r="B8" s="12"/>
      <c r="C8" s="12"/>
      <c r="D8" s="12"/>
      <c r="E8" s="12"/>
      <c r="F8" s="12"/>
      <c r="G8" s="12"/>
    </row>
    <row r="9" spans="1:8" x14ac:dyDescent="0.3">
      <c r="A9" t="s">
        <v>5</v>
      </c>
      <c r="E9" s="1"/>
      <c r="F9" s="1"/>
      <c r="G9" s="1" t="s">
        <v>6</v>
      </c>
    </row>
    <row r="10" spans="1:8" x14ac:dyDescent="0.3">
      <c r="A10" t="s">
        <v>7</v>
      </c>
      <c r="E10" s="1"/>
      <c r="F10" s="13" t="s">
        <v>2</v>
      </c>
      <c r="G10" s="13"/>
    </row>
    <row r="11" spans="1:8" x14ac:dyDescent="0.3">
      <c r="A11" t="s">
        <v>8</v>
      </c>
      <c r="E11" s="1" t="s">
        <v>9</v>
      </c>
      <c r="F11" s="1"/>
      <c r="G11" s="1"/>
    </row>
    <row r="12" spans="1:8" x14ac:dyDescent="0.3">
      <c r="A12" t="s">
        <v>10</v>
      </c>
      <c r="E12" s="1"/>
      <c r="F12" s="1"/>
      <c r="G12" s="1"/>
    </row>
    <row r="13" spans="1:8" x14ac:dyDescent="0.3">
      <c r="E13" s="1"/>
      <c r="F13" s="1"/>
      <c r="G13" s="1"/>
    </row>
    <row r="14" spans="1:8" x14ac:dyDescent="0.3">
      <c r="A14" t="s">
        <v>11</v>
      </c>
      <c r="E14" s="1"/>
      <c r="F14" s="1"/>
      <c r="G14" s="1"/>
    </row>
    <row r="15" spans="1:8" ht="15" thickBot="1" x14ac:dyDescent="0.35">
      <c r="E15" s="1"/>
      <c r="F15" s="1"/>
      <c r="G15" s="1"/>
    </row>
    <row r="16" spans="1:8" ht="15" thickBot="1" x14ac:dyDescent="0.35">
      <c r="A16" s="14" t="s">
        <v>12</v>
      </c>
      <c r="B16" s="15" t="s">
        <v>13</v>
      </c>
      <c r="C16" s="16"/>
      <c r="D16" s="59" t="s">
        <v>24</v>
      </c>
      <c r="E16" s="17" t="s">
        <v>14</v>
      </c>
      <c r="F16" s="17" t="s">
        <v>15</v>
      </c>
      <c r="G16" s="18" t="s">
        <v>16</v>
      </c>
      <c r="H16" s="19" t="s">
        <v>17</v>
      </c>
    </row>
    <row r="17" spans="1:7" x14ac:dyDescent="0.3">
      <c r="A17" s="20">
        <v>1</v>
      </c>
      <c r="B17" s="21">
        <v>45962</v>
      </c>
      <c r="C17" s="22"/>
      <c r="D17" s="23">
        <v>1</v>
      </c>
      <c r="E17" s="23">
        <v>1</v>
      </c>
      <c r="F17" s="23">
        <v>0</v>
      </c>
      <c r="G17" s="24"/>
    </row>
    <row r="18" spans="1:7" x14ac:dyDescent="0.3">
      <c r="A18" s="25">
        <v>2</v>
      </c>
      <c r="B18" s="26">
        <v>45965</v>
      </c>
      <c r="C18" s="26"/>
      <c r="D18" s="27">
        <v>1</v>
      </c>
      <c r="E18" s="27">
        <v>0</v>
      </c>
      <c r="F18" s="27">
        <v>1</v>
      </c>
      <c r="G18" s="28"/>
    </row>
    <row r="19" spans="1:7" x14ac:dyDescent="0.3">
      <c r="A19" s="25">
        <v>3</v>
      </c>
      <c r="B19" s="26">
        <v>45967</v>
      </c>
      <c r="C19" s="26"/>
      <c r="D19" s="27">
        <v>1</v>
      </c>
      <c r="E19" s="27">
        <v>0</v>
      </c>
      <c r="F19" s="27">
        <v>1</v>
      </c>
      <c r="G19" s="28"/>
    </row>
    <row r="20" spans="1:7" x14ac:dyDescent="0.3">
      <c r="A20" s="25">
        <v>4</v>
      </c>
      <c r="B20" s="26">
        <v>45968</v>
      </c>
      <c r="C20" s="26"/>
      <c r="D20" s="27">
        <v>1</v>
      </c>
      <c r="E20" s="27">
        <v>1</v>
      </c>
      <c r="F20" s="27">
        <v>0</v>
      </c>
      <c r="G20" s="28"/>
    </row>
    <row r="21" spans="1:7" x14ac:dyDescent="0.3">
      <c r="A21" s="25">
        <v>5</v>
      </c>
      <c r="B21" s="26">
        <v>45969</v>
      </c>
      <c r="C21" s="26"/>
      <c r="D21" s="27">
        <v>1.5</v>
      </c>
      <c r="E21" s="27">
        <v>1.5</v>
      </c>
      <c r="F21" s="27">
        <v>0</v>
      </c>
      <c r="G21" s="28"/>
    </row>
    <row r="22" spans="1:7" x14ac:dyDescent="0.3">
      <c r="A22" s="25">
        <v>6</v>
      </c>
      <c r="B22" s="26">
        <v>45970</v>
      </c>
      <c r="C22" s="26"/>
      <c r="D22" s="27">
        <v>2.5</v>
      </c>
      <c r="E22" s="27">
        <v>1</v>
      </c>
      <c r="F22" s="27">
        <v>1</v>
      </c>
      <c r="G22" s="28"/>
    </row>
    <row r="23" spans="1:7" x14ac:dyDescent="0.3">
      <c r="A23" s="25">
        <v>7</v>
      </c>
      <c r="B23" s="26">
        <v>45971</v>
      </c>
      <c r="C23" s="26"/>
      <c r="D23" s="27">
        <v>4</v>
      </c>
      <c r="E23" s="27">
        <v>4</v>
      </c>
      <c r="F23" s="27">
        <v>4</v>
      </c>
      <c r="G23" s="28"/>
    </row>
    <row r="24" spans="1:7" x14ac:dyDescent="0.3">
      <c r="A24" s="25">
        <v>8</v>
      </c>
      <c r="B24" s="26">
        <v>45972</v>
      </c>
      <c r="C24" s="26"/>
      <c r="D24" s="27">
        <v>3</v>
      </c>
      <c r="E24" s="27">
        <v>1</v>
      </c>
      <c r="F24" s="27">
        <v>3</v>
      </c>
      <c r="G24" s="28"/>
    </row>
    <row r="25" spans="1:7" x14ac:dyDescent="0.3">
      <c r="A25" s="25">
        <v>9</v>
      </c>
      <c r="B25" s="26">
        <v>45978</v>
      </c>
      <c r="C25" s="26"/>
      <c r="D25" s="27">
        <v>1</v>
      </c>
      <c r="E25" s="27">
        <v>0</v>
      </c>
      <c r="F25" s="27">
        <v>1</v>
      </c>
      <c r="G25" s="28"/>
    </row>
    <row r="26" spans="1:7" x14ac:dyDescent="0.3">
      <c r="A26" s="25">
        <v>10</v>
      </c>
      <c r="B26" s="26">
        <v>45979</v>
      </c>
      <c r="C26" s="26"/>
      <c r="D26" s="27">
        <v>3</v>
      </c>
      <c r="E26" s="27">
        <v>1</v>
      </c>
      <c r="F26" s="27">
        <v>1</v>
      </c>
      <c r="G26" s="28"/>
    </row>
    <row r="27" spans="1:7" x14ac:dyDescent="0.3">
      <c r="A27" s="25">
        <v>11</v>
      </c>
      <c r="B27" s="26">
        <v>45980</v>
      </c>
      <c r="C27" s="26"/>
      <c r="D27" s="27">
        <v>2</v>
      </c>
      <c r="E27" s="27">
        <v>2</v>
      </c>
      <c r="F27" s="27">
        <v>0</v>
      </c>
      <c r="G27" s="28"/>
    </row>
    <row r="28" spans="1:7" x14ac:dyDescent="0.3">
      <c r="A28" s="25">
        <v>12</v>
      </c>
      <c r="B28" s="26">
        <v>45981</v>
      </c>
      <c r="C28" s="26"/>
      <c r="D28" s="27">
        <v>1</v>
      </c>
      <c r="E28" s="27">
        <v>1</v>
      </c>
      <c r="F28" s="27">
        <v>0</v>
      </c>
      <c r="G28" s="28"/>
    </row>
    <row r="29" spans="1:7" x14ac:dyDescent="0.3">
      <c r="A29" s="25">
        <v>13</v>
      </c>
      <c r="B29" s="26">
        <v>45982</v>
      </c>
      <c r="C29" s="26"/>
      <c r="D29" s="27">
        <v>1</v>
      </c>
      <c r="E29" s="27">
        <v>1</v>
      </c>
      <c r="F29" s="27">
        <v>0</v>
      </c>
      <c r="G29" s="28"/>
    </row>
    <row r="30" spans="1:7" x14ac:dyDescent="0.3">
      <c r="A30" s="25">
        <v>14</v>
      </c>
      <c r="B30" s="26">
        <v>45983</v>
      </c>
      <c r="C30" s="26"/>
      <c r="D30" s="27">
        <v>1</v>
      </c>
      <c r="E30" s="27">
        <v>1</v>
      </c>
      <c r="F30" s="27">
        <v>0</v>
      </c>
      <c r="G30" s="28"/>
    </row>
    <row r="31" spans="1:7" x14ac:dyDescent="0.3">
      <c r="A31" s="25">
        <v>15</v>
      </c>
      <c r="B31" s="26">
        <v>45986</v>
      </c>
      <c r="C31" s="26"/>
      <c r="D31" s="27">
        <v>1</v>
      </c>
      <c r="E31" s="27">
        <v>1</v>
      </c>
      <c r="F31" s="27">
        <v>0</v>
      </c>
      <c r="G31" s="28"/>
    </row>
    <row r="32" spans="1:7" x14ac:dyDescent="0.3">
      <c r="A32" s="25">
        <v>16</v>
      </c>
      <c r="B32" s="26">
        <v>45987</v>
      </c>
      <c r="C32" s="26"/>
      <c r="D32" s="27">
        <v>1</v>
      </c>
      <c r="E32" s="27">
        <v>1</v>
      </c>
      <c r="F32" s="27">
        <v>0</v>
      </c>
      <c r="G32" s="28"/>
    </row>
    <row r="33" spans="1:7" x14ac:dyDescent="0.3">
      <c r="A33" s="25">
        <v>17</v>
      </c>
      <c r="B33" s="26">
        <v>45988</v>
      </c>
      <c r="C33" s="26"/>
      <c r="D33" s="27">
        <v>1</v>
      </c>
      <c r="E33" s="27">
        <v>1</v>
      </c>
      <c r="F33" s="27">
        <v>0</v>
      </c>
      <c r="G33" s="28"/>
    </row>
    <row r="34" spans="1:7" x14ac:dyDescent="0.3">
      <c r="A34" s="25">
        <v>18</v>
      </c>
      <c r="B34" s="26">
        <v>45989</v>
      </c>
      <c r="C34" s="26"/>
      <c r="D34" s="27">
        <v>1</v>
      </c>
      <c r="E34" s="27">
        <v>1</v>
      </c>
      <c r="F34" s="27">
        <v>0</v>
      </c>
      <c r="G34" s="28"/>
    </row>
    <row r="35" spans="1:7" x14ac:dyDescent="0.3">
      <c r="A35" s="25">
        <v>19</v>
      </c>
      <c r="B35" s="26">
        <v>45990</v>
      </c>
      <c r="C35" s="26"/>
      <c r="D35" s="27">
        <v>2</v>
      </c>
      <c r="E35" s="27">
        <v>1</v>
      </c>
      <c r="F35" s="27">
        <v>1</v>
      </c>
      <c r="G35" s="28"/>
    </row>
    <row r="36" spans="1:7" x14ac:dyDescent="0.3">
      <c r="A36" s="25">
        <v>20</v>
      </c>
      <c r="B36" s="26">
        <v>45994</v>
      </c>
      <c r="C36" s="26"/>
      <c r="D36" s="27">
        <v>1</v>
      </c>
      <c r="E36" s="27">
        <v>0</v>
      </c>
      <c r="F36" s="27">
        <v>1</v>
      </c>
      <c r="G36" s="28"/>
    </row>
    <row r="37" spans="1:7" x14ac:dyDescent="0.3">
      <c r="A37" s="25"/>
      <c r="B37" s="26"/>
      <c r="C37" s="26"/>
      <c r="D37" s="60"/>
      <c r="E37" s="27"/>
      <c r="F37" s="27"/>
      <c r="G37" s="28"/>
    </row>
    <row r="38" spans="1:7" x14ac:dyDescent="0.3">
      <c r="A38" s="25"/>
      <c r="B38" s="26"/>
      <c r="C38" s="26"/>
      <c r="D38" s="60"/>
      <c r="E38" s="27"/>
      <c r="F38" s="27"/>
      <c r="G38" s="28"/>
    </row>
    <row r="39" spans="1:7" ht="15" thickBot="1" x14ac:dyDescent="0.35">
      <c r="A39" s="29"/>
      <c r="B39" s="30"/>
      <c r="C39" s="30"/>
      <c r="D39" s="61"/>
      <c r="E39" s="31"/>
      <c r="F39" s="31"/>
      <c r="G39" s="32"/>
    </row>
    <row r="40" spans="1:7" x14ac:dyDescent="0.3">
      <c r="A40" s="33"/>
      <c r="B40" s="34" t="s">
        <v>18</v>
      </c>
      <c r="C40" s="34"/>
      <c r="D40" s="62"/>
      <c r="E40" s="35"/>
      <c r="F40" s="35"/>
      <c r="G40" s="36"/>
    </row>
    <row r="41" spans="1:7" x14ac:dyDescent="0.3">
      <c r="A41" s="37"/>
      <c r="B41" s="38"/>
      <c r="C41" s="39"/>
      <c r="D41" s="40">
        <f>SUM(D17:D39)</f>
        <v>31</v>
      </c>
      <c r="E41" s="40">
        <f>SUM(E17:E39)</f>
        <v>20.5</v>
      </c>
      <c r="F41" s="40">
        <f>SUM(F17:F39)</f>
        <v>14</v>
      </c>
      <c r="G41" s="28"/>
    </row>
    <row r="42" spans="1:7" x14ac:dyDescent="0.3">
      <c r="A42" s="37"/>
      <c r="B42" s="38"/>
      <c r="C42" s="39"/>
      <c r="D42" s="40"/>
      <c r="E42" s="40"/>
      <c r="F42" s="40"/>
      <c r="G42" s="28"/>
    </row>
    <row r="43" spans="1:7" ht="14.4" customHeight="1" x14ac:dyDescent="0.3">
      <c r="A43" s="37"/>
      <c r="B43" s="63" t="s">
        <v>25</v>
      </c>
      <c r="C43" s="64"/>
      <c r="D43" s="65"/>
      <c r="E43" s="40">
        <f>D41</f>
        <v>31</v>
      </c>
      <c r="F43" s="40">
        <v>1500</v>
      </c>
      <c r="G43" s="28">
        <f>F43*E43</f>
        <v>46500</v>
      </c>
    </row>
    <row r="44" spans="1:7" x14ac:dyDescent="0.3">
      <c r="A44" s="41"/>
      <c r="B44" s="63" t="s">
        <v>14</v>
      </c>
      <c r="C44" s="64"/>
      <c r="D44" s="65"/>
      <c r="E44" s="27">
        <f>E41</f>
        <v>20.5</v>
      </c>
      <c r="F44" s="27">
        <v>800</v>
      </c>
      <c r="G44" s="28">
        <f>F44*E44</f>
        <v>16400</v>
      </c>
    </row>
    <row r="45" spans="1:7" ht="15" thickBot="1" x14ac:dyDescent="0.35">
      <c r="A45" s="42"/>
      <c r="B45" s="66" t="s">
        <v>15</v>
      </c>
      <c r="C45" s="67"/>
      <c r="D45" s="68"/>
      <c r="E45" s="43">
        <f>F41</f>
        <v>14</v>
      </c>
      <c r="F45" s="43">
        <v>600</v>
      </c>
      <c r="G45" s="44">
        <f t="shared" ref="G45" si="0">E45*F45</f>
        <v>8400</v>
      </c>
    </row>
    <row r="46" spans="1:7" x14ac:dyDescent="0.3">
      <c r="A46" s="45" t="s">
        <v>19</v>
      </c>
      <c r="B46" s="46"/>
      <c r="C46" s="46"/>
      <c r="D46" s="46"/>
      <c r="E46" s="46"/>
      <c r="F46" s="47"/>
      <c r="G46" s="48">
        <f>G43+G44+G45</f>
        <v>71300</v>
      </c>
    </row>
    <row r="47" spans="1:7" x14ac:dyDescent="0.3">
      <c r="A47" s="45" t="s">
        <v>20</v>
      </c>
      <c r="B47" s="46"/>
      <c r="C47" s="46"/>
      <c r="D47" s="46"/>
      <c r="E47" s="46"/>
      <c r="F47" s="47"/>
      <c r="G47" s="49">
        <v>0</v>
      </c>
    </row>
    <row r="48" spans="1:7" x14ac:dyDescent="0.3">
      <c r="A48" s="45" t="s">
        <v>21</v>
      </c>
      <c r="B48" s="46"/>
      <c r="C48" s="46"/>
      <c r="D48" s="46"/>
      <c r="E48" s="46"/>
      <c r="F48" s="47"/>
      <c r="G48" s="49">
        <f>G46+G47</f>
        <v>71300</v>
      </c>
    </row>
    <row r="49" spans="1:7" x14ac:dyDescent="0.3">
      <c r="A49" s="45" t="s">
        <v>22</v>
      </c>
      <c r="B49" s="46"/>
      <c r="C49" s="46"/>
      <c r="D49" s="46"/>
      <c r="E49" s="46"/>
      <c r="F49" s="47"/>
      <c r="G49" s="49">
        <f>G48*9%</f>
        <v>6417</v>
      </c>
    </row>
    <row r="50" spans="1:7" ht="15" thickBot="1" x14ac:dyDescent="0.35">
      <c r="A50" s="45" t="s">
        <v>22</v>
      </c>
      <c r="B50" s="50"/>
      <c r="C50" s="50"/>
      <c r="D50" s="50"/>
      <c r="E50" s="46"/>
      <c r="F50" s="47"/>
      <c r="G50" s="51">
        <f>G48*9%</f>
        <v>6417</v>
      </c>
    </row>
    <row r="51" spans="1:7" ht="15" thickBot="1" x14ac:dyDescent="0.35">
      <c r="A51" s="52" t="s">
        <v>23</v>
      </c>
      <c r="B51" s="53"/>
      <c r="C51" s="53"/>
      <c r="D51" s="53"/>
      <c r="E51" s="54"/>
      <c r="F51" s="55"/>
      <c r="G51" s="56">
        <f>G48+G49+G50</f>
        <v>84134</v>
      </c>
    </row>
    <row r="52" spans="1:7" x14ac:dyDescent="0.3">
      <c r="A52" s="57" t="s">
        <v>26</v>
      </c>
      <c r="G52" s="58"/>
    </row>
    <row r="53" spans="1:7" x14ac:dyDescent="0.3">
      <c r="E53" s="1"/>
      <c r="F53" s="1"/>
      <c r="G53" s="1"/>
    </row>
  </sheetData>
  <mergeCells count="34">
    <mergeCell ref="B40:C40"/>
    <mergeCell ref="B43:D43"/>
    <mergeCell ref="B44:D44"/>
    <mergeCell ref="B45:D45"/>
    <mergeCell ref="B34:C34"/>
    <mergeCell ref="B35:C35"/>
    <mergeCell ref="B36:C36"/>
    <mergeCell ref="B37:C37"/>
    <mergeCell ref="B38:C38"/>
    <mergeCell ref="B39:C39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A4:G4"/>
    <mergeCell ref="A5:G5"/>
    <mergeCell ref="A6:G6"/>
    <mergeCell ref="A7:G7"/>
    <mergeCell ref="A8:G8"/>
    <mergeCell ref="F10:G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workbookViewId="0">
      <selection activeCell="K19" sqref="K19"/>
    </sheetView>
  </sheetViews>
  <sheetFormatPr defaultRowHeight="14.4" x14ac:dyDescent="0.3"/>
  <cols>
    <col min="1" max="1" width="7.21875" customWidth="1"/>
    <col min="2" max="2" width="11.33203125" customWidth="1"/>
    <col min="3" max="3" width="6" customWidth="1"/>
    <col min="4" max="4" width="10.88671875" customWidth="1"/>
    <col min="5" max="6" width="11.77734375" customWidth="1"/>
    <col min="7" max="7" width="16.88671875" customWidth="1"/>
  </cols>
  <sheetData>
    <row r="1" spans="1:8" ht="15.6" x14ac:dyDescent="0.3">
      <c r="A1" s="73" t="s">
        <v>27</v>
      </c>
      <c r="E1" s="1"/>
      <c r="F1" s="1"/>
      <c r="G1" s="1"/>
    </row>
    <row r="2" spans="1:8" ht="15" thickBot="1" x14ac:dyDescent="0.35">
      <c r="E2" s="1"/>
      <c r="F2" s="1"/>
      <c r="G2" s="1"/>
    </row>
    <row r="3" spans="1:8" ht="15" thickBot="1" x14ac:dyDescent="0.35">
      <c r="A3" s="14" t="s">
        <v>12</v>
      </c>
      <c r="B3" s="15" t="s">
        <v>13</v>
      </c>
      <c r="C3" s="16"/>
      <c r="D3" s="59" t="s">
        <v>24</v>
      </c>
      <c r="E3" s="17" t="s">
        <v>14</v>
      </c>
      <c r="F3" s="17" t="s">
        <v>15</v>
      </c>
      <c r="G3" s="18" t="s">
        <v>16</v>
      </c>
      <c r="H3" s="19"/>
    </row>
    <row r="4" spans="1:8" x14ac:dyDescent="0.3">
      <c r="A4" s="20">
        <v>1</v>
      </c>
      <c r="B4" s="21">
        <v>45962</v>
      </c>
      <c r="C4" s="22"/>
      <c r="D4" s="23">
        <v>1</v>
      </c>
      <c r="E4" s="23">
        <v>1</v>
      </c>
      <c r="F4" s="23">
        <v>0</v>
      </c>
      <c r="G4" s="24"/>
    </row>
    <row r="5" spans="1:8" x14ac:dyDescent="0.3">
      <c r="A5" s="25">
        <v>2</v>
      </c>
      <c r="B5" s="26">
        <v>45965</v>
      </c>
      <c r="C5" s="26"/>
      <c r="D5" s="27">
        <v>1</v>
      </c>
      <c r="E5" s="27">
        <v>0</v>
      </c>
      <c r="F5" s="27">
        <v>1</v>
      </c>
      <c r="G5" s="28"/>
    </row>
    <row r="6" spans="1:8" x14ac:dyDescent="0.3">
      <c r="A6" s="25">
        <v>3</v>
      </c>
      <c r="B6" s="26">
        <v>45967</v>
      </c>
      <c r="C6" s="26"/>
      <c r="D6" s="27">
        <v>1</v>
      </c>
      <c r="E6" s="27">
        <v>0</v>
      </c>
      <c r="F6" s="27">
        <v>1</v>
      </c>
      <c r="G6" s="28"/>
    </row>
    <row r="7" spans="1:8" x14ac:dyDescent="0.3">
      <c r="A7" s="25">
        <v>4</v>
      </c>
      <c r="B7" s="26">
        <v>45968</v>
      </c>
      <c r="C7" s="26"/>
      <c r="D7" s="27">
        <v>1</v>
      </c>
      <c r="E7" s="27">
        <v>1</v>
      </c>
      <c r="F7" s="27">
        <v>0</v>
      </c>
      <c r="G7" s="28"/>
    </row>
    <row r="8" spans="1:8" x14ac:dyDescent="0.3">
      <c r="A8" s="25">
        <v>5</v>
      </c>
      <c r="B8" s="26">
        <v>45969</v>
      </c>
      <c r="C8" s="26"/>
      <c r="D8" s="27">
        <v>1.5</v>
      </c>
      <c r="E8" s="27">
        <v>1.5</v>
      </c>
      <c r="F8" s="27">
        <v>0</v>
      </c>
      <c r="G8" s="28"/>
    </row>
    <row r="9" spans="1:8" x14ac:dyDescent="0.3">
      <c r="A9" s="25">
        <v>6</v>
      </c>
      <c r="B9" s="26">
        <v>45970</v>
      </c>
      <c r="C9" s="26"/>
      <c r="D9" s="27">
        <v>2.5</v>
      </c>
      <c r="E9" s="27">
        <v>1</v>
      </c>
      <c r="F9" s="27">
        <v>1</v>
      </c>
      <c r="G9" s="28"/>
    </row>
    <row r="10" spans="1:8" x14ac:dyDescent="0.3">
      <c r="A10" s="25">
        <v>7</v>
      </c>
      <c r="B10" s="26">
        <v>45971</v>
      </c>
      <c r="C10" s="26"/>
      <c r="D10" s="27">
        <v>4</v>
      </c>
      <c r="E10" s="27">
        <v>4</v>
      </c>
      <c r="F10" s="27">
        <v>4</v>
      </c>
      <c r="G10" s="28"/>
    </row>
    <row r="11" spans="1:8" x14ac:dyDescent="0.3">
      <c r="A11" s="25">
        <v>8</v>
      </c>
      <c r="B11" s="26">
        <v>45972</v>
      </c>
      <c r="C11" s="26"/>
      <c r="D11" s="27">
        <v>3</v>
      </c>
      <c r="E11" s="27">
        <v>1</v>
      </c>
      <c r="F11" s="27">
        <v>3</v>
      </c>
      <c r="G11" s="28"/>
    </row>
    <row r="12" spans="1:8" x14ac:dyDescent="0.3">
      <c r="A12" s="25">
        <v>9</v>
      </c>
      <c r="B12" s="26">
        <v>45978</v>
      </c>
      <c r="C12" s="26"/>
      <c r="D12" s="27">
        <v>1</v>
      </c>
      <c r="E12" s="27">
        <v>0</v>
      </c>
      <c r="F12" s="27">
        <v>1</v>
      </c>
      <c r="G12" s="28"/>
    </row>
    <row r="13" spans="1:8" x14ac:dyDescent="0.3">
      <c r="A13" s="25">
        <v>10</v>
      </c>
      <c r="B13" s="26">
        <v>45979</v>
      </c>
      <c r="C13" s="26"/>
      <c r="D13" s="27">
        <v>3</v>
      </c>
      <c r="E13" s="27">
        <v>1</v>
      </c>
      <c r="F13" s="27">
        <v>1</v>
      </c>
      <c r="G13" s="28"/>
    </row>
    <row r="14" spans="1:8" x14ac:dyDescent="0.3">
      <c r="A14" s="25">
        <v>11</v>
      </c>
      <c r="B14" s="26">
        <v>45980</v>
      </c>
      <c r="C14" s="26"/>
      <c r="D14" s="27">
        <v>2</v>
      </c>
      <c r="E14" s="27">
        <v>2</v>
      </c>
      <c r="F14" s="27">
        <v>0</v>
      </c>
      <c r="G14" s="28"/>
    </row>
    <row r="15" spans="1:8" x14ac:dyDescent="0.3">
      <c r="A15" s="25">
        <v>12</v>
      </c>
      <c r="B15" s="26">
        <v>45981</v>
      </c>
      <c r="C15" s="26"/>
      <c r="D15" s="27">
        <v>1</v>
      </c>
      <c r="E15" s="27">
        <v>1</v>
      </c>
      <c r="F15" s="27">
        <v>0</v>
      </c>
      <c r="G15" s="28"/>
    </row>
    <row r="16" spans="1:8" x14ac:dyDescent="0.3">
      <c r="A16" s="25">
        <v>13</v>
      </c>
      <c r="B16" s="26">
        <v>45982</v>
      </c>
      <c r="C16" s="26"/>
      <c r="D16" s="27">
        <v>1</v>
      </c>
      <c r="E16" s="27">
        <v>1</v>
      </c>
      <c r="F16" s="27">
        <v>0</v>
      </c>
      <c r="G16" s="28"/>
    </row>
    <row r="17" spans="1:7" x14ac:dyDescent="0.3">
      <c r="A17" s="25">
        <v>14</v>
      </c>
      <c r="B17" s="26">
        <v>45983</v>
      </c>
      <c r="C17" s="26"/>
      <c r="D17" s="27">
        <v>1</v>
      </c>
      <c r="E17" s="27">
        <v>1</v>
      </c>
      <c r="F17" s="27">
        <v>0</v>
      </c>
      <c r="G17" s="28"/>
    </row>
    <row r="18" spans="1:7" x14ac:dyDescent="0.3">
      <c r="A18" s="25">
        <v>15</v>
      </c>
      <c r="B18" s="26">
        <v>45986</v>
      </c>
      <c r="C18" s="26"/>
      <c r="D18" s="27">
        <v>1</v>
      </c>
      <c r="E18" s="27">
        <v>1</v>
      </c>
      <c r="F18" s="27">
        <v>0</v>
      </c>
      <c r="G18" s="28"/>
    </row>
    <row r="19" spans="1:7" x14ac:dyDescent="0.3">
      <c r="A19" s="25">
        <v>16</v>
      </c>
      <c r="B19" s="26">
        <v>45987</v>
      </c>
      <c r="C19" s="26"/>
      <c r="D19" s="27">
        <v>1</v>
      </c>
      <c r="E19" s="27">
        <v>1</v>
      </c>
      <c r="F19" s="27">
        <v>0</v>
      </c>
      <c r="G19" s="28"/>
    </row>
    <row r="20" spans="1:7" x14ac:dyDescent="0.3">
      <c r="A20" s="25">
        <v>17</v>
      </c>
      <c r="B20" s="26">
        <v>45988</v>
      </c>
      <c r="C20" s="26"/>
      <c r="D20" s="27">
        <v>1</v>
      </c>
      <c r="E20" s="27">
        <v>1</v>
      </c>
      <c r="F20" s="27">
        <v>0</v>
      </c>
      <c r="G20" s="28"/>
    </row>
    <row r="21" spans="1:7" x14ac:dyDescent="0.3">
      <c r="A21" s="25">
        <v>18</v>
      </c>
      <c r="B21" s="26">
        <v>45989</v>
      </c>
      <c r="C21" s="26"/>
      <c r="D21" s="27">
        <v>1</v>
      </c>
      <c r="E21" s="27">
        <v>1</v>
      </c>
      <c r="F21" s="27">
        <v>0</v>
      </c>
      <c r="G21" s="28"/>
    </row>
    <row r="22" spans="1:7" x14ac:dyDescent="0.3">
      <c r="A22" s="25">
        <v>19</v>
      </c>
      <c r="B22" s="26">
        <v>45990</v>
      </c>
      <c r="C22" s="26"/>
      <c r="D22" s="27">
        <v>2</v>
      </c>
      <c r="E22" s="27">
        <v>1</v>
      </c>
      <c r="F22" s="27">
        <v>1</v>
      </c>
      <c r="G22" s="28"/>
    </row>
    <row r="23" spans="1:7" x14ac:dyDescent="0.3">
      <c r="A23" s="25">
        <v>20</v>
      </c>
      <c r="B23" s="26">
        <v>45994</v>
      </c>
      <c r="C23" s="26"/>
      <c r="D23" s="27">
        <v>1</v>
      </c>
      <c r="E23" s="27">
        <v>0</v>
      </c>
      <c r="F23" s="27">
        <v>1</v>
      </c>
      <c r="G23" s="28"/>
    </row>
    <row r="24" spans="1:7" x14ac:dyDescent="0.3">
      <c r="A24" s="25"/>
      <c r="B24" s="26"/>
      <c r="C24" s="26"/>
      <c r="D24" s="60"/>
      <c r="E24" s="27"/>
      <c r="F24" s="27"/>
      <c r="G24" s="28"/>
    </row>
    <row r="25" spans="1:7" x14ac:dyDescent="0.3">
      <c r="A25" s="25"/>
      <c r="B25" s="26"/>
      <c r="C25" s="26"/>
      <c r="D25" s="60"/>
      <c r="E25" s="27"/>
      <c r="F25" s="27"/>
      <c r="G25" s="28"/>
    </row>
    <row r="26" spans="1:7" ht="15" thickBot="1" x14ac:dyDescent="0.35">
      <c r="A26" s="29"/>
      <c r="B26" s="30"/>
      <c r="C26" s="30"/>
      <c r="D26" s="61"/>
      <c r="E26" s="31"/>
      <c r="F26" s="31"/>
      <c r="G26" s="32"/>
    </row>
    <row r="27" spans="1:7" x14ac:dyDescent="0.3">
      <c r="A27" s="33"/>
      <c r="B27" s="34" t="s">
        <v>18</v>
      </c>
      <c r="C27" s="34"/>
      <c r="D27" s="62">
        <f>SUM(D3:D25)</f>
        <v>31</v>
      </c>
      <c r="E27" s="62">
        <f>SUM(E3:E25)</f>
        <v>20.5</v>
      </c>
      <c r="F27" s="62">
        <f>SUM(F3:F25)</f>
        <v>14</v>
      </c>
      <c r="G27" s="36"/>
    </row>
    <row r="28" spans="1:7" ht="15" thickBot="1" x14ac:dyDescent="0.35">
      <c r="A28" s="69"/>
      <c r="B28" s="70"/>
      <c r="C28" s="71"/>
      <c r="D28" s="72"/>
      <c r="E28" s="72"/>
      <c r="F28" s="72"/>
      <c r="G28" s="44"/>
    </row>
    <row r="29" spans="1:7" x14ac:dyDescent="0.3">
      <c r="E29" s="1"/>
      <c r="F29" s="1"/>
      <c r="G29" s="1"/>
    </row>
  </sheetData>
  <mergeCells count="25">
    <mergeCell ref="B27:C27"/>
    <mergeCell ref="B21:C21"/>
    <mergeCell ref="B22:C22"/>
    <mergeCell ref="B23:C23"/>
    <mergeCell ref="B24:C24"/>
    <mergeCell ref="B25:C25"/>
    <mergeCell ref="B26:C26"/>
    <mergeCell ref="B15:C15"/>
    <mergeCell ref="B16:C16"/>
    <mergeCell ref="B17:C17"/>
    <mergeCell ref="B18:C18"/>
    <mergeCell ref="B19:C19"/>
    <mergeCell ref="B20:C20"/>
    <mergeCell ref="B9:C9"/>
    <mergeCell ref="B10:C10"/>
    <mergeCell ref="B11:C11"/>
    <mergeCell ref="B12:C12"/>
    <mergeCell ref="B13:C13"/>
    <mergeCell ref="B14:C14"/>
    <mergeCell ref="B3:C3"/>
    <mergeCell ref="B4:C4"/>
    <mergeCell ref="B5:C5"/>
    <mergeCell ref="B6:C6"/>
    <mergeCell ref="B7:C7"/>
    <mergeCell ref="B8:C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2025-12-26T13:52:46Z</dcterms:modified>
</cp:coreProperties>
</file>