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Print_Area" localSheetId="3">Sheet4!$A$27:$D$90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5" i="8" l="1"/>
  <c r="D40" i="8"/>
  <c r="L37" i="8"/>
  <c r="L46" i="8"/>
  <c r="L47" i="8"/>
  <c r="L48" i="8"/>
  <c r="L45" i="8"/>
  <c r="F40" i="8"/>
  <c r="H40" i="8" s="1"/>
  <c r="M43" i="8" l="1"/>
  <c r="C69" i="8"/>
  <c r="C70" i="8"/>
  <c r="C71" i="8"/>
  <c r="C68" i="8"/>
  <c r="C54" i="8" l="1"/>
  <c r="K56" i="8"/>
  <c r="N56" i="8" s="1"/>
  <c r="P56" i="8" s="1"/>
  <c r="L54" i="8"/>
  <c r="M54" i="8" s="1"/>
  <c r="K53" i="8"/>
  <c r="D43" i="8"/>
  <c r="D42" i="8"/>
  <c r="D41" i="8"/>
  <c r="N50" i="8"/>
  <c r="O50" i="8" s="1"/>
  <c r="N47" i="8" l="1"/>
  <c r="N48" i="8"/>
  <c r="N46" i="8"/>
  <c r="L43" i="8"/>
  <c r="N43" i="8"/>
  <c r="F54" i="8"/>
  <c r="H54" i="8" s="1"/>
  <c r="F48" i="8"/>
  <c r="H48" i="8" s="1"/>
  <c r="F47" i="8"/>
  <c r="H47" i="8" s="1"/>
  <c r="H44" i="8"/>
  <c r="F43" i="8"/>
  <c r="H43" i="8" s="1"/>
  <c r="F42" i="8"/>
  <c r="H42" i="8" s="1"/>
  <c r="F41" i="8"/>
  <c r="H41" i="8" s="1"/>
  <c r="H49" i="8" l="1"/>
  <c r="H60" i="8"/>
  <c r="H22" i="8"/>
  <c r="H24" i="8"/>
  <c r="F27" i="8"/>
  <c r="H27" i="8" s="1"/>
  <c r="F26" i="8"/>
  <c r="H26" i="8" s="1"/>
  <c r="F25" i="8"/>
  <c r="H25" i="8" s="1"/>
  <c r="F24" i="8"/>
  <c r="F21" i="8"/>
  <c r="H21" i="8" s="1"/>
  <c r="F22" i="8"/>
  <c r="F23" i="8"/>
  <c r="H23" i="8" s="1"/>
  <c r="F20" i="8"/>
  <c r="H20" i="8"/>
  <c r="F14" i="8"/>
  <c r="H14" i="8" s="1"/>
  <c r="F13" i="8"/>
  <c r="H13" i="8" s="1"/>
  <c r="H15" i="8" s="1"/>
  <c r="C10" i="8"/>
  <c r="F10" i="8" s="1"/>
  <c r="H10" i="8" s="1"/>
  <c r="F8" i="8"/>
  <c r="H8" i="8" s="1"/>
  <c r="F9" i="8"/>
  <c r="H9" i="8" s="1"/>
  <c r="F7" i="8"/>
  <c r="H7" i="8" s="1"/>
  <c r="H29" i="8" l="1"/>
  <c r="H51" i="8"/>
  <c r="H11" i="8"/>
  <c r="H17" i="8" s="1"/>
  <c r="G88" i="5"/>
  <c r="G89" i="5"/>
  <c r="G90" i="5"/>
  <c r="G93" i="5" s="1"/>
  <c r="G87" i="5"/>
  <c r="K93" i="5"/>
  <c r="I93" i="5"/>
  <c r="K89" i="5"/>
  <c r="I89" i="5"/>
  <c r="K88" i="5"/>
  <c r="I88" i="5"/>
  <c r="K87" i="5"/>
  <c r="I87" i="5"/>
  <c r="H31" i="8" l="1"/>
  <c r="K29" i="8" s="1"/>
  <c r="K30" i="8" s="1"/>
  <c r="K71" i="5"/>
  <c r="K72" i="5"/>
  <c r="K70" i="5"/>
  <c r="K76" i="5" s="1"/>
  <c r="I71" i="5" l="1"/>
  <c r="I72" i="5"/>
  <c r="I70" i="5"/>
  <c r="G72" i="5"/>
  <c r="G71" i="5"/>
  <c r="G70" i="5"/>
  <c r="O54" i="5"/>
  <c r="O53" i="5"/>
  <c r="M54" i="5"/>
  <c r="M53" i="5"/>
  <c r="M59" i="5" s="1"/>
  <c r="K54" i="5"/>
  <c r="K53" i="5"/>
  <c r="I54" i="5"/>
  <c r="G54" i="5"/>
  <c r="I53" i="5"/>
  <c r="G53" i="5"/>
  <c r="G76" i="5" l="1"/>
  <c r="I76" i="5"/>
  <c r="O59" i="5"/>
  <c r="K59" i="5"/>
  <c r="G59" i="5"/>
  <c r="I59" i="5"/>
  <c r="I42" i="5"/>
  <c r="G42" i="5"/>
  <c r="I41" i="5"/>
  <c r="G41" i="5"/>
  <c r="I40" i="5"/>
  <c r="G40" i="5"/>
  <c r="I39" i="5"/>
  <c r="G39" i="5"/>
  <c r="I38" i="5"/>
  <c r="G38" i="5"/>
  <c r="I37" i="5"/>
  <c r="G37" i="5"/>
  <c r="I36" i="5"/>
  <c r="G36" i="5"/>
  <c r="I35" i="5"/>
  <c r="G35" i="5"/>
  <c r="I34" i="5"/>
  <c r="G34" i="5"/>
  <c r="I33" i="5"/>
  <c r="G33" i="5"/>
  <c r="I32" i="5"/>
  <c r="G32" i="5"/>
  <c r="I31" i="5"/>
  <c r="G31" i="5"/>
  <c r="I30" i="5"/>
  <c r="G30" i="5"/>
  <c r="G44" i="5" l="1"/>
  <c r="I44" i="5"/>
  <c r="C8" i="7"/>
  <c r="F8" i="7" s="1"/>
  <c r="F18" i="7"/>
  <c r="F17" i="7"/>
  <c r="F16" i="7"/>
  <c r="F15" i="7"/>
  <c r="F40" i="7"/>
  <c r="F39" i="7"/>
  <c r="F38" i="7"/>
  <c r="F37" i="7"/>
  <c r="F36" i="7"/>
  <c r="F35" i="7"/>
  <c r="F34" i="7"/>
  <c r="F26" i="7"/>
  <c r="F25" i="7"/>
  <c r="F24" i="7"/>
  <c r="F23" i="7"/>
  <c r="C22" i="7"/>
  <c r="F22" i="7" s="1"/>
  <c r="F13" i="7"/>
  <c r="F12" i="7"/>
  <c r="C11" i="7"/>
  <c r="F11" i="7" s="1"/>
  <c r="F10" i="7"/>
  <c r="F9" i="7"/>
  <c r="F29" i="7" l="1"/>
  <c r="F43" i="7" s="1"/>
  <c r="C14" i="7"/>
  <c r="F14" i="7" s="1"/>
  <c r="F28" i="7" s="1"/>
  <c r="F42" i="7"/>
  <c r="C64" i="2"/>
  <c r="F71" i="2" s="1"/>
  <c r="C82" i="2"/>
  <c r="F82" i="2" s="1"/>
  <c r="J78" i="2"/>
  <c r="J77" i="2"/>
  <c r="L77" i="2" s="1"/>
  <c r="C76" i="2"/>
  <c r="F76" i="2" s="1"/>
  <c r="F81" i="2"/>
  <c r="F80" i="2"/>
  <c r="F79" i="2"/>
  <c r="F78" i="2"/>
  <c r="F77" i="2"/>
  <c r="C51" i="2"/>
  <c r="F51" i="2" s="1"/>
  <c r="C54" i="2"/>
  <c r="F54" i="2" s="1"/>
  <c r="F68" i="2"/>
  <c r="F67" i="2"/>
  <c r="F66" i="2"/>
  <c r="F65" i="2"/>
  <c r="F56" i="2"/>
  <c r="F55" i="2"/>
  <c r="F53" i="2"/>
  <c r="F52" i="2"/>
  <c r="F46" i="7" l="1"/>
  <c r="F30" i="7"/>
  <c r="F44" i="7"/>
  <c r="F84" i="2"/>
  <c r="F59" i="2"/>
  <c r="F85" i="2" s="1"/>
  <c r="F86" i="2" s="1"/>
  <c r="F58" i="2"/>
  <c r="F64" i="2"/>
  <c r="F70" i="2" s="1"/>
  <c r="N13" i="6"/>
  <c r="N12" i="6"/>
  <c r="N11" i="6"/>
  <c r="N10" i="6"/>
  <c r="N9" i="6"/>
  <c r="F47" i="7" l="1"/>
  <c r="F72" i="2"/>
  <c r="F88" i="2"/>
  <c r="H70" i="2"/>
  <c r="F60" i="2"/>
  <c r="L12" i="6"/>
  <c r="F89" i="2" l="1"/>
  <c r="K18" i="6"/>
  <c r="K17" i="6"/>
  <c r="K16" i="6"/>
  <c r="K13" i="6"/>
  <c r="K12" i="6"/>
  <c r="K8" i="6"/>
  <c r="K9" i="6"/>
  <c r="K10" i="6"/>
  <c r="K11" i="6"/>
  <c r="K7" i="6"/>
  <c r="F14" i="6" l="1"/>
  <c r="F13" i="6"/>
  <c r="F9" i="6"/>
  <c r="F8" i="6"/>
  <c r="F7" i="6"/>
  <c r="F17" i="6" l="1"/>
  <c r="G8" i="5"/>
  <c r="G9" i="5"/>
  <c r="G10" i="5"/>
  <c r="G11" i="5"/>
  <c r="G12" i="5"/>
  <c r="G13" i="5"/>
  <c r="G14" i="5"/>
  <c r="G15" i="5"/>
  <c r="G16" i="5"/>
  <c r="G17" i="5"/>
  <c r="G18" i="5"/>
  <c r="G19" i="5"/>
  <c r="I19" i="5"/>
  <c r="I18" i="5"/>
  <c r="I17" i="5"/>
  <c r="I16" i="5"/>
  <c r="I15" i="5"/>
  <c r="I14" i="5"/>
  <c r="I13" i="5"/>
  <c r="I12" i="5"/>
  <c r="I11" i="5"/>
  <c r="I9" i="5"/>
  <c r="I10" i="5"/>
  <c r="I8" i="5"/>
  <c r="I7" i="5"/>
  <c r="G7" i="5"/>
  <c r="G21" i="5" l="1"/>
  <c r="I21" i="5"/>
  <c r="C35" i="2"/>
  <c r="H7" i="3" l="1"/>
  <c r="F7" i="3"/>
  <c r="F9" i="2" l="1"/>
  <c r="F10" i="2"/>
  <c r="F11" i="2"/>
  <c r="F12" i="2"/>
  <c r="F13" i="2"/>
  <c r="F17" i="2"/>
  <c r="F18" i="2"/>
  <c r="F22" i="2"/>
  <c r="F23" i="2"/>
  <c r="F24" i="2"/>
  <c r="F7" i="2"/>
  <c r="E21" i="2"/>
  <c r="F21" i="2" s="1"/>
  <c r="E19" i="2"/>
  <c r="F19" i="2" s="1"/>
  <c r="C20" i="2"/>
  <c r="F20" i="2" s="1"/>
  <c r="C16" i="2"/>
  <c r="F16" i="2" s="1"/>
  <c r="I16" i="2"/>
  <c r="C8" i="2"/>
  <c r="F8" i="2" s="1"/>
  <c r="I9" i="2"/>
  <c r="K9" i="2" s="1"/>
  <c r="I8" i="2"/>
  <c r="K8" i="2" s="1"/>
  <c r="K10" i="2" l="1"/>
  <c r="K11" i="2" s="1"/>
  <c r="F26" i="2"/>
  <c r="D11" i="1"/>
  <c r="I14" i="1" l="1"/>
  <c r="F8" i="1"/>
  <c r="F9" i="1"/>
  <c r="G9" i="1"/>
  <c r="H9" i="1" s="1"/>
  <c r="F13" i="1"/>
  <c r="G13" i="1" s="1"/>
  <c r="F12" i="1"/>
  <c r="G12" i="1" s="1"/>
  <c r="F11" i="1"/>
  <c r="G11" i="1" s="1"/>
  <c r="H11" i="1" s="1"/>
  <c r="F10" i="1"/>
  <c r="G10" i="1" s="1"/>
  <c r="H10" i="1" s="1"/>
  <c r="H14" i="1" l="1"/>
  <c r="I15" i="1" s="1"/>
  <c r="G8" i="1"/>
  <c r="H8" i="1" s="1"/>
  <c r="H13" i="1"/>
  <c r="H12" i="1"/>
</calcChain>
</file>

<file path=xl/sharedStrings.xml><?xml version="1.0" encoding="utf-8"?>
<sst xmlns="http://schemas.openxmlformats.org/spreadsheetml/2006/main" count="626" uniqueCount="259">
  <si>
    <t>Sr.No.</t>
  </si>
  <si>
    <t>Particulars</t>
  </si>
  <si>
    <t>Invoice No.</t>
  </si>
  <si>
    <t>Basic Amount</t>
  </si>
  <si>
    <t>Cartage</t>
  </si>
  <si>
    <t>Total Basic Amount</t>
  </si>
  <si>
    <t>12% GST</t>
  </si>
  <si>
    <t>Payble Amount</t>
  </si>
  <si>
    <t>Ply board 32mm &amp; 35mm &amp; SS Hinges</t>
  </si>
  <si>
    <t>Screw &amp; PVC plug</t>
  </si>
  <si>
    <t>Flush Door</t>
  </si>
  <si>
    <t xml:space="preserve">MDF 4mm &amp; 12mm </t>
  </si>
  <si>
    <t>Cement sheet</t>
  </si>
  <si>
    <t>Alluminium pipe</t>
  </si>
  <si>
    <t>Bill Book Amount</t>
  </si>
  <si>
    <t>Difference Amount</t>
  </si>
  <si>
    <t>Site : Unitet Developers Pvt Ltd</t>
  </si>
  <si>
    <t>Supplier Name: Parshva Ply</t>
  </si>
  <si>
    <t>Subject : Summary Bill</t>
  </si>
  <si>
    <t>Date : 13/12/2025</t>
  </si>
  <si>
    <t>Description of work</t>
  </si>
  <si>
    <t>Unit</t>
  </si>
  <si>
    <t>Rate</t>
  </si>
  <si>
    <t>Amount</t>
  </si>
  <si>
    <t>A</t>
  </si>
  <si>
    <t>SOCIETY DRAINAGE WORK</t>
  </si>
  <si>
    <t>8" RCC pipe</t>
  </si>
  <si>
    <t>Cement</t>
  </si>
  <si>
    <t>6" Fly ash bricks</t>
  </si>
  <si>
    <t>Crush sand</t>
  </si>
  <si>
    <t>20mm Aggregate</t>
  </si>
  <si>
    <t>Round chamber frame &amp; cover</t>
  </si>
  <si>
    <t>LABOUR</t>
  </si>
  <si>
    <t>MATERIAL</t>
  </si>
  <si>
    <t>Manual Excavation</t>
  </si>
  <si>
    <t>JCB</t>
  </si>
  <si>
    <t>Tile labour</t>
  </si>
  <si>
    <t>Plumber labour</t>
  </si>
  <si>
    <t xml:space="preserve">Tractor </t>
  </si>
  <si>
    <t>Trimix cutter &amp; breaker</t>
  </si>
  <si>
    <t>Department labour</t>
  </si>
  <si>
    <t xml:space="preserve">Trimix   </t>
  </si>
  <si>
    <t>Approx Quantity</t>
  </si>
  <si>
    <t>No</t>
  </si>
  <si>
    <t>R.mtr</t>
  </si>
  <si>
    <t>bag</t>
  </si>
  <si>
    <t>brass</t>
  </si>
  <si>
    <t>Hrs</t>
  </si>
  <si>
    <t>trip</t>
  </si>
  <si>
    <t>Lumpsum</t>
  </si>
  <si>
    <t>Bobcat</t>
  </si>
  <si>
    <t>cum</t>
  </si>
  <si>
    <t>Sq.ft</t>
  </si>
  <si>
    <t>M25 concrete</t>
  </si>
  <si>
    <t>M/C</t>
  </si>
  <si>
    <t>Total Material + Labour Amount =</t>
  </si>
  <si>
    <t>ESTIMATION FOR SOCIETY DRAINAGE WORK</t>
  </si>
  <si>
    <t>RATE COMPARISION SHEET</t>
  </si>
  <si>
    <t>Per Brass</t>
  </si>
  <si>
    <t>Sarjerao Rate after negotiation</t>
  </si>
  <si>
    <t>Achit Rate after negotiation</t>
  </si>
  <si>
    <t>Approx Quantity in Sq.ft.</t>
  </si>
  <si>
    <t>3'FT WIDE TRENCH EXCAVATION WORK UPTO 6'FT DEPTH WITH BACK FILLING WORK</t>
  </si>
  <si>
    <t>SOCIETY DRAINAGE LINE WORK</t>
  </si>
  <si>
    <t>Material requirement list</t>
  </si>
  <si>
    <t>SAMPLE FLAT</t>
  </si>
  <si>
    <t>PENDING SELECTION LIST</t>
  </si>
  <si>
    <t>Wall paper</t>
  </si>
  <si>
    <t>Italian Marble</t>
  </si>
  <si>
    <t>Chendilere</t>
  </si>
  <si>
    <t>Ceiling lights</t>
  </si>
  <si>
    <t>Profile lights</t>
  </si>
  <si>
    <t>MainDoor Design</t>
  </si>
  <si>
    <t>Bedroom 1 Mirror selection</t>
  </si>
  <si>
    <t>Chimni, Hob selection</t>
  </si>
  <si>
    <t>Paint type selection &amp; colour shed selection</t>
  </si>
  <si>
    <t>TV selection</t>
  </si>
  <si>
    <t>Toilet Mirror selection</t>
  </si>
  <si>
    <t>Hanging Lights, Wall lights selection</t>
  </si>
  <si>
    <t>Dining area Mirror selection</t>
  </si>
  <si>
    <t>LIVING ROOM &amp; ENTRANCE LOBBY</t>
  </si>
  <si>
    <t>LOCATION</t>
  </si>
  <si>
    <t>SR.NO.</t>
  </si>
  <si>
    <t>PENDING MATERIAL SELECTION</t>
  </si>
  <si>
    <t>REMARK</t>
  </si>
  <si>
    <t>Wall Lamp</t>
  </si>
  <si>
    <t>TV</t>
  </si>
  <si>
    <t>Paint type selection &amp; colour sheds</t>
  </si>
  <si>
    <t>Chandelier light</t>
  </si>
  <si>
    <t>Mirror</t>
  </si>
  <si>
    <t>Plain</t>
  </si>
  <si>
    <t>Entrance area</t>
  </si>
  <si>
    <t>Hanging light</t>
  </si>
  <si>
    <t>For Living Area</t>
  </si>
  <si>
    <t>DINING AREA</t>
  </si>
  <si>
    <t>Painting frame</t>
  </si>
  <si>
    <t>Hanging lights</t>
  </si>
  <si>
    <t>Wallpaper</t>
  </si>
  <si>
    <t>BEDROOM 01</t>
  </si>
  <si>
    <t>MASTER BEDROOM 01</t>
  </si>
  <si>
    <t>MASTER BEDROOM 02</t>
  </si>
  <si>
    <t>KITCHEN AREA</t>
  </si>
  <si>
    <t>Chimney</t>
  </si>
  <si>
    <t>Hob</t>
  </si>
  <si>
    <t>Aqua gard</t>
  </si>
  <si>
    <t>Fridge</t>
  </si>
  <si>
    <t>Washing Machin</t>
  </si>
  <si>
    <t>MAIN DOOR</t>
  </si>
  <si>
    <t>Design Drawing</t>
  </si>
  <si>
    <t>UNITET DEVELOPERS</t>
  </si>
  <si>
    <t>SAMPLE FLAT PENDING MATERIAL SELECTION LIST</t>
  </si>
  <si>
    <t>B</t>
  </si>
  <si>
    <t>SALES OFFICE</t>
  </si>
  <si>
    <t>A. V. ROOM</t>
  </si>
  <si>
    <t>Wall lamp</t>
  </si>
  <si>
    <t>10mm grove filling material</t>
  </si>
  <si>
    <t>Cove light selection</t>
  </si>
  <si>
    <t>Indirect light</t>
  </si>
  <si>
    <t>Louvers</t>
  </si>
  <si>
    <t>Glasswool</t>
  </si>
  <si>
    <t>C.E.O. CABIN 1 &amp; REST ROOM</t>
  </si>
  <si>
    <t>Italian Marble selection</t>
  </si>
  <si>
    <t>Paint Selection</t>
  </si>
  <si>
    <t>C.E.O. CABIN 2</t>
  </si>
  <si>
    <t>Wooden Texture details</t>
  </si>
  <si>
    <t>SS corner bidding</t>
  </si>
  <si>
    <t>Model Display Area</t>
  </si>
  <si>
    <t>Walllamp</t>
  </si>
  <si>
    <t>Ceiling Display light details</t>
  </si>
  <si>
    <t>Paint Selections</t>
  </si>
  <si>
    <t>Sales Cabin 1 &amp; 2</t>
  </si>
  <si>
    <t>Sales Cabin 3</t>
  </si>
  <si>
    <t>Quantity</t>
  </si>
  <si>
    <t>HARDWARE MATERIAL</t>
  </si>
  <si>
    <t>Auto Hinges Brass</t>
  </si>
  <si>
    <t>Set</t>
  </si>
  <si>
    <t>550mm Tandam 4"</t>
  </si>
  <si>
    <t>550mm Tandam 6"</t>
  </si>
  <si>
    <t>550mm Tandam 8"</t>
  </si>
  <si>
    <t>400mm Tandam 4"</t>
  </si>
  <si>
    <t>400mm Tandam 6"</t>
  </si>
  <si>
    <t>400mm Tandam 8"</t>
  </si>
  <si>
    <t>Self Button Brass</t>
  </si>
  <si>
    <t>Piece</t>
  </si>
  <si>
    <t>Fevicol Spray</t>
  </si>
  <si>
    <t>No.</t>
  </si>
  <si>
    <t>Screw S.S. 100 X 10</t>
  </si>
  <si>
    <t>Box</t>
  </si>
  <si>
    <t>Screw S.S. 75 X 10</t>
  </si>
  <si>
    <t>Screw S.S. 60 X 10</t>
  </si>
  <si>
    <t>Teliscope 16"</t>
  </si>
  <si>
    <t>Sunil Supplier ( Hafele Brand)</t>
  </si>
  <si>
    <t>Parshva Ply ( Bose/Hettich/Everwin Brand)</t>
  </si>
  <si>
    <t>Total Amount=</t>
  </si>
  <si>
    <t>ESTIMATION FOR ITALIAN MARBLE WORK</t>
  </si>
  <si>
    <t>Italian Marble Dado work</t>
  </si>
  <si>
    <t>ITALIAN MARBLE WORK AT SAMPLE FLAT &amp; SALES OFFICE MATERIAL</t>
  </si>
  <si>
    <t>Tile Adhesive (20Kg per bag) (on wall cladding)</t>
  </si>
  <si>
    <t>Tenax Chemical (on plyboard cladding)(1.5kg per set)</t>
  </si>
  <si>
    <t>Bag</t>
  </si>
  <si>
    <t>Mirror Polishing with material</t>
  </si>
  <si>
    <t>Total Material + Labour Approx. Amount =</t>
  </si>
  <si>
    <t>Approx. Quantity</t>
  </si>
  <si>
    <t xml:space="preserve">Italian Marble                                                                         ( Patya size 5' X 10'ft = 2 No. &amp;                                            5' X 8'ft = 1 No. &amp;                                                                  5' X 5'ft= 3 &amp;                                                                             6' X 8'ft= 1 No.) as per marble size availability                          </t>
  </si>
  <si>
    <t>Tractor breaker</t>
  </si>
  <si>
    <t>Days</t>
  </si>
  <si>
    <t>Labour Amount =</t>
  </si>
  <si>
    <t>INSIDE SOCIETY DRAINAGE WORK</t>
  </si>
  <si>
    <t>Rate per Sq.ft =</t>
  </si>
  <si>
    <t>LABOUR WORK</t>
  </si>
  <si>
    <t>OUTSIDE SOCIETY DRAINAGE WORK AT ROAD AREA</t>
  </si>
  <si>
    <t>Bobcat for material shifting &amp; debris loading in tractor trip</t>
  </si>
  <si>
    <t>Tractor breaker for PCC &amp; rock breaking work</t>
  </si>
  <si>
    <t>Tractor Trip for Debris material shifting outside</t>
  </si>
  <si>
    <t>Paving block removing, shifting &amp; stacking</t>
  </si>
  <si>
    <t>Material Amount =</t>
  </si>
  <si>
    <t>Material + Labour Amount =</t>
  </si>
  <si>
    <t>Area of work in Sq.ft =</t>
  </si>
  <si>
    <t>M15 concrete for PCC 100mm thk.</t>
  </si>
  <si>
    <t>Paving block fixing work</t>
  </si>
  <si>
    <t>M15 concrete for PCC 100mm thk. Below PCC work, excavated road area</t>
  </si>
  <si>
    <t>Tractor Trolly</t>
  </si>
  <si>
    <t>8" RCC line Plumbig work</t>
  </si>
  <si>
    <t>R.ft</t>
  </si>
  <si>
    <t>Round Chamber Brick work</t>
  </si>
  <si>
    <t>Hanching work</t>
  </si>
  <si>
    <t>Hand roller compactor</t>
  </si>
  <si>
    <t>Nos.</t>
  </si>
  <si>
    <t>C</t>
  </si>
  <si>
    <t>18% GST EXTRA</t>
  </si>
  <si>
    <t>If needed- PMC challan for road excavation extra</t>
  </si>
  <si>
    <t>8" RCC pipe NP3 class</t>
  </si>
  <si>
    <t>PAINTING RATE COMPARISION SHEET</t>
  </si>
  <si>
    <t>PAINTING WORK</t>
  </si>
  <si>
    <t>INTERNAL PAINT</t>
  </si>
  <si>
    <t>Water base Luster paint</t>
  </si>
  <si>
    <t>Water base Luster paint patti-1" to 3"</t>
  </si>
  <si>
    <t>Water base Luster paint patti- Grove</t>
  </si>
  <si>
    <t>RCC PIPE RATE COMPARISION SHEET</t>
  </si>
  <si>
    <t>21" RCC ROUND CHAMBER COVER HD</t>
  </si>
  <si>
    <t>Per No.</t>
  </si>
  <si>
    <t>8" RCC PIPE - NP2 CLASS (2 mtr length)</t>
  </si>
  <si>
    <t>SOHAM CEMENT PIPE, URLI KANCHAN</t>
  </si>
  <si>
    <t>SAGAR CEMENT PRODUCTS, URLI KANCHAN</t>
  </si>
  <si>
    <t>NAVALE CONCRETE PIPE, ALANDI</t>
  </si>
  <si>
    <t>SAMRUDHI CEMENT PIPE, LOHGAO</t>
  </si>
  <si>
    <t>SHRIRAM ENTERPRISES, UIRALI KANCHAN</t>
  </si>
  <si>
    <t>Amount=</t>
  </si>
  <si>
    <t xml:space="preserve">              * GST 18% Extra</t>
  </si>
  <si>
    <t>NOTE-  * Above rate are including transport, loading &amp; unloading</t>
  </si>
  <si>
    <t>MS MATERIAL RATE COMPARISION SHEET</t>
  </si>
  <si>
    <t>MS CHANEL 100 X 50</t>
  </si>
  <si>
    <t>JAFFERANI STEEL</t>
  </si>
  <si>
    <t>Weight Kg</t>
  </si>
  <si>
    <t>Kg</t>
  </si>
  <si>
    <t>NOTE-  * Transport &amp; Hamali Extra</t>
  </si>
  <si>
    <t>CHOICE TRADER</t>
  </si>
  <si>
    <t>For Material Gate</t>
  </si>
  <si>
    <t>REGAL STEEL</t>
  </si>
  <si>
    <t>PLATE 200 X 200 X 12MM THK.</t>
  </si>
  <si>
    <t>ROUND BAR 20MM- 18FT LENGTH</t>
  </si>
  <si>
    <t>PAINT TYPE</t>
  </si>
  <si>
    <t xml:space="preserve"> </t>
  </si>
  <si>
    <t>SALASKAR</t>
  </si>
  <si>
    <t>Deco upto 1" inch</t>
  </si>
  <si>
    <t>Rft</t>
  </si>
  <si>
    <t>ESTIMATION FOR OUTDOOR FINS WORK</t>
  </si>
  <si>
    <t>MS RECTANGULAR PIPE</t>
  </si>
  <si>
    <t xml:space="preserve">MS PIPE : 125mm X 40mm X 1 mm </t>
  </si>
  <si>
    <t>Weight per mtr</t>
  </si>
  <si>
    <t>Net Qty.</t>
  </si>
  <si>
    <t xml:space="preserve"> Quantity in Mtr</t>
  </si>
  <si>
    <t xml:space="preserve">MS PIPE : 100mm X 40mm X 1 mm </t>
  </si>
  <si>
    <t xml:space="preserve">MS PIPE : 75mm X 40mm X 1 mm </t>
  </si>
  <si>
    <t xml:space="preserve">MS PIPE : 50mm X 40mm X 1 mm </t>
  </si>
  <si>
    <t xml:space="preserve">MS pipe installation work </t>
  </si>
  <si>
    <t>Satin Finish Paint : 833 X 1.5= 1250 Sq.ft</t>
  </si>
  <si>
    <t>Total Material + Labour Approx. Amount For MS Section Fins =</t>
  </si>
  <si>
    <t>ALLUMINIUM POWDER COATED PIPE</t>
  </si>
  <si>
    <t>ALLU. PIPE : 125mm X 40mm X 3.5mtr height</t>
  </si>
  <si>
    <t>ALLU. PIPE : 100mm X 40mm X 3.5mtr height</t>
  </si>
  <si>
    <t>ALLU. PIPE : 75mm X 40mm X 3.5mtr height</t>
  </si>
  <si>
    <t>ALLU. PIPE : 50mm X 40mm X 3.5mtr height</t>
  </si>
  <si>
    <t>MATERIAL + INSTALLATION</t>
  </si>
  <si>
    <t>ALLU. PIPE : 125mm X 40mm X 0.650mtr height</t>
  </si>
  <si>
    <t>ALLU. PIPE : 100mm X 40mm X 0.650mtr height</t>
  </si>
  <si>
    <t>ALLU. PIPE : 75mm X 40mm X 0.650mtr height</t>
  </si>
  <si>
    <t>ALLU. PIPE : 50mm X 40mm X 0.650mtr height</t>
  </si>
  <si>
    <t>Total Material + Labour Approx. Amount For Alluminium Section Fins =</t>
  </si>
  <si>
    <t xml:space="preserve">MS PIPE : 100mm X 25mm X 1.2 mm </t>
  </si>
  <si>
    <t xml:space="preserve">MS PIPE : 75mm X 25mm X 1.2 mm </t>
  </si>
  <si>
    <t xml:space="preserve">MS PIPE : 50mm X 25mm X 1.2 mm </t>
  </si>
  <si>
    <t>ALLU. PIPE : 65mm X 40mm X 3.5mtr height</t>
  </si>
  <si>
    <r>
      <t xml:space="preserve">100 - </t>
    </r>
    <r>
      <rPr>
        <b/>
        <sz val="11"/>
        <color theme="1"/>
        <rFont val="Calibri"/>
        <family val="2"/>
        <scheme val="minor"/>
      </rPr>
      <t>130</t>
    </r>
    <r>
      <rPr>
        <sz val="11"/>
        <color theme="1"/>
        <rFont val="Calibri"/>
        <family val="2"/>
        <scheme val="minor"/>
      </rPr>
      <t xml:space="preserve"> - 100 - </t>
    </r>
    <r>
      <rPr>
        <b/>
        <sz val="11"/>
        <color theme="1"/>
        <rFont val="Calibri"/>
        <family val="2"/>
        <scheme val="minor"/>
      </rPr>
      <t>65</t>
    </r>
  </si>
  <si>
    <t>MS RECTANGULAR PIPE FULL COIL</t>
  </si>
  <si>
    <t xml:space="preserve">MS PIPE : 125mm X 25mm X 1.2 mm </t>
  </si>
  <si>
    <t xml:space="preserve"> Quantity in Nos</t>
  </si>
  <si>
    <r>
      <t>100-</t>
    </r>
    <r>
      <rPr>
        <b/>
        <sz val="11"/>
        <color theme="1"/>
        <rFont val="Calibri"/>
        <family val="2"/>
        <scheme val="minor"/>
      </rPr>
      <t>125</t>
    </r>
    <r>
      <rPr>
        <sz val="11"/>
        <color theme="1"/>
        <rFont val="Calibri"/>
        <family val="2"/>
        <scheme val="minor"/>
      </rPr>
      <t xml:space="preserve">-100 - </t>
    </r>
    <r>
      <rPr>
        <b/>
        <sz val="11"/>
        <color theme="1"/>
        <rFont val="Calibri"/>
        <family val="2"/>
        <scheme val="minor"/>
      </rPr>
      <t>100</t>
    </r>
    <r>
      <rPr>
        <sz val="11"/>
        <color theme="1"/>
        <rFont val="Calibri"/>
        <family val="2"/>
        <scheme val="minor"/>
      </rPr>
      <t xml:space="preserve"> - 100 - </t>
    </r>
    <r>
      <rPr>
        <b/>
        <sz val="11"/>
        <color theme="1"/>
        <rFont val="Calibri"/>
        <family val="2"/>
        <scheme val="minor"/>
      </rPr>
      <t>75</t>
    </r>
    <r>
      <rPr>
        <sz val="11"/>
        <color theme="1"/>
        <rFont val="Calibri"/>
        <family val="2"/>
        <scheme val="minor"/>
      </rPr>
      <t xml:space="preserve"> - 100 - </t>
    </r>
    <r>
      <rPr>
        <b/>
        <sz val="11"/>
        <color theme="1"/>
        <rFont val="Calibri"/>
        <family val="2"/>
        <scheme val="minor"/>
      </rPr>
      <t>50</t>
    </r>
  </si>
  <si>
    <t>(Length - 21.05 Mtr)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</si>
</sst>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8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2" fillId="0" borderId="2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9" xfId="0" applyBorder="1"/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Fill="1" applyBorder="1"/>
    <xf numFmtId="0" fontId="0" fillId="0" borderId="1" xfId="0" applyFill="1" applyBorder="1"/>
    <xf numFmtId="0" fontId="0" fillId="0" borderId="10" xfId="0" applyFill="1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2" borderId="5" xfId="0" applyFont="1" applyFill="1" applyBorder="1"/>
    <xf numFmtId="0" fontId="1" fillId="0" borderId="1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1" xfId="0" applyBorder="1"/>
    <xf numFmtId="0" fontId="3" fillId="0" borderId="5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3" fillId="0" borderId="23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1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0" fillId="4" borderId="6" xfId="0" applyFill="1" applyBorder="1"/>
    <xf numFmtId="0" fontId="0" fillId="4" borderId="8" xfId="0" applyFill="1" applyBorder="1"/>
    <xf numFmtId="0" fontId="0" fillId="4" borderId="19" xfId="0" applyFill="1" applyBorder="1"/>
    <xf numFmtId="0" fontId="0" fillId="4" borderId="21" xfId="0" applyFill="1" applyBorder="1"/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4" borderId="9" xfId="0" applyFill="1" applyBorder="1"/>
    <xf numFmtId="0" fontId="0" fillId="4" borderId="10" xfId="0" applyFill="1" applyBorder="1"/>
    <xf numFmtId="0" fontId="0" fillId="4" borderId="12" xfId="0" applyFill="1" applyBorder="1"/>
    <xf numFmtId="0" fontId="0" fillId="4" borderId="22" xfId="0" applyFill="1" applyBorder="1"/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0" fillId="5" borderId="6" xfId="0" applyFill="1" applyBorder="1"/>
    <xf numFmtId="0" fontId="0" fillId="5" borderId="8" xfId="0" applyFill="1" applyBorder="1"/>
    <xf numFmtId="0" fontId="0" fillId="5" borderId="19" xfId="0" applyFill="1" applyBorder="1"/>
    <xf numFmtId="0" fontId="0" fillId="5" borderId="21" xfId="0" applyFill="1" applyBorder="1"/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10" xfId="0" applyFill="1" applyBorder="1"/>
    <xf numFmtId="0" fontId="0" fillId="5" borderId="12" xfId="0" applyFill="1" applyBorder="1"/>
    <xf numFmtId="0" fontId="0" fillId="5" borderId="22" xfId="0" applyFill="1" applyBorder="1"/>
    <xf numFmtId="0" fontId="5" fillId="0" borderId="20" xfId="0" applyFont="1" applyBorder="1"/>
    <xf numFmtId="0" fontId="3" fillId="0" borderId="0" xfId="0" applyFont="1"/>
    <xf numFmtId="0" fontId="1" fillId="0" borderId="9" xfId="0" applyFont="1" applyBorder="1" applyAlignment="1">
      <alignment horizontal="right" vertical="center"/>
    </xf>
    <xf numFmtId="0" fontId="0" fillId="0" borderId="0" xfId="0" applyBorder="1"/>
    <xf numFmtId="0" fontId="0" fillId="0" borderId="9" xfId="0" applyFill="1" applyBorder="1"/>
    <xf numFmtId="0" fontId="0" fillId="0" borderId="13" xfId="0" applyFill="1" applyBorder="1"/>
    <xf numFmtId="0" fontId="0" fillId="0" borderId="22" xfId="0" applyBorder="1"/>
    <xf numFmtId="0" fontId="0" fillId="0" borderId="27" xfId="0" applyBorder="1"/>
    <xf numFmtId="0" fontId="0" fillId="0" borderId="2" xfId="0" applyFill="1" applyBorder="1"/>
    <xf numFmtId="0" fontId="4" fillId="0" borderId="1" xfId="0" applyFont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/>
    <xf numFmtId="0" fontId="3" fillId="5" borderId="12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5" borderId="35" xfId="0" applyFill="1" applyBorder="1"/>
    <xf numFmtId="0" fontId="0" fillId="5" borderId="15" xfId="0" applyFill="1" applyBorder="1"/>
    <xf numFmtId="0" fontId="0" fillId="4" borderId="35" xfId="0" applyFill="1" applyBorder="1"/>
    <xf numFmtId="0" fontId="0" fillId="4" borderId="15" xfId="0" applyFill="1" applyBorder="1"/>
    <xf numFmtId="0" fontId="3" fillId="5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6" borderId="3" xfId="0" applyFill="1" applyBorder="1"/>
    <xf numFmtId="43" fontId="0" fillId="0" borderId="1" xfId="1" applyFont="1" applyBorder="1" applyAlignment="1">
      <alignment vertical="center"/>
    </xf>
    <xf numFmtId="43" fontId="0" fillId="0" borderId="10" xfId="1" applyFont="1" applyBorder="1" applyAlignment="1">
      <alignment vertical="center"/>
    </xf>
    <xf numFmtId="43" fontId="0" fillId="0" borderId="1" xfId="1" applyFont="1" applyBorder="1"/>
    <xf numFmtId="43" fontId="0" fillId="0" borderId="10" xfId="1" applyFont="1" applyBorder="1"/>
    <xf numFmtId="43" fontId="3" fillId="6" borderId="5" xfId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2" fillId="0" borderId="38" xfId="0" applyFont="1" applyBorder="1"/>
    <xf numFmtId="2" fontId="3" fillId="8" borderId="38" xfId="0" applyNumberFormat="1" applyFont="1" applyFill="1" applyBorder="1"/>
    <xf numFmtId="0" fontId="3" fillId="9" borderId="38" xfId="0" applyFont="1" applyFill="1" applyBorder="1"/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0" fillId="0" borderId="26" xfId="0" applyBorder="1"/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31" xfId="0" applyBorder="1"/>
    <xf numFmtId="0" fontId="0" fillId="0" borderId="40" xfId="0" applyBorder="1"/>
    <xf numFmtId="0" fontId="0" fillId="0" borderId="32" xfId="0" applyBorder="1"/>
    <xf numFmtId="0" fontId="0" fillId="0" borderId="41" xfId="0" applyBorder="1"/>
    <xf numFmtId="0" fontId="3" fillId="0" borderId="3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20" xfId="0" applyFont="1" applyBorder="1"/>
    <xf numFmtId="0" fontId="0" fillId="0" borderId="20" xfId="0" applyBorder="1" applyAlignment="1">
      <alignment horizontal="center" vertical="center"/>
    </xf>
    <xf numFmtId="0" fontId="5" fillId="0" borderId="7" xfId="0" applyFont="1" applyBorder="1"/>
    <xf numFmtId="0" fontId="0" fillId="0" borderId="21" xfId="0" applyBorder="1"/>
    <xf numFmtId="0" fontId="0" fillId="0" borderId="33" xfId="0" applyBorder="1"/>
    <xf numFmtId="0" fontId="0" fillId="0" borderId="34" xfId="0" applyBorder="1"/>
    <xf numFmtId="0" fontId="0" fillId="0" borderId="42" xfId="0" applyBorder="1"/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/>
    <xf numFmtId="43" fontId="0" fillId="4" borderId="19" xfId="1" applyFont="1" applyFill="1" applyBorder="1"/>
    <xf numFmtId="43" fontId="0" fillId="4" borderId="21" xfId="1" applyFont="1" applyFill="1" applyBorder="1"/>
    <xf numFmtId="43" fontId="1" fillId="0" borderId="10" xfId="1" applyFont="1" applyBorder="1"/>
    <xf numFmtId="43" fontId="1" fillId="0" borderId="10" xfId="0" applyNumberFormat="1" applyFont="1" applyBorder="1"/>
    <xf numFmtId="0" fontId="1" fillId="8" borderId="9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wrapText="1"/>
    </xf>
    <xf numFmtId="0" fontId="0" fillId="8" borderId="9" xfId="0" applyFill="1" applyBorder="1"/>
    <xf numFmtId="0" fontId="1" fillId="8" borderId="1" xfId="0" applyFont="1" applyFill="1" applyBorder="1"/>
    <xf numFmtId="43" fontId="0" fillId="0" borderId="0" xfId="0" applyNumberFormat="1"/>
    <xf numFmtId="0" fontId="0" fillId="8" borderId="0" xfId="0" applyFill="1"/>
    <xf numFmtId="0" fontId="0" fillId="8" borderId="43" xfId="0" applyFill="1" applyBorder="1"/>
    <xf numFmtId="0" fontId="0" fillId="4" borderId="1" xfId="0" applyFill="1" applyBorder="1" applyAlignment="1">
      <alignment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right"/>
    </xf>
    <xf numFmtId="0" fontId="3" fillId="9" borderId="4" xfId="0" applyFont="1" applyFill="1" applyBorder="1" applyAlignment="1">
      <alignment horizontal="right"/>
    </xf>
    <xf numFmtId="0" fontId="3" fillId="9" borderId="5" xfId="0" applyFont="1" applyFill="1" applyBorder="1" applyAlignment="1">
      <alignment horizontal="right"/>
    </xf>
    <xf numFmtId="0" fontId="3" fillId="0" borderId="39" xfId="0" applyFont="1" applyBorder="1" applyAlignment="1">
      <alignment horizontal="right"/>
    </xf>
    <xf numFmtId="0" fontId="3" fillId="0" borderId="36" xfId="0" applyFont="1" applyBorder="1" applyAlignment="1">
      <alignment horizontal="right"/>
    </xf>
    <xf numFmtId="0" fontId="3" fillId="0" borderId="38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8" borderId="39" xfId="0" applyFont="1" applyFill="1" applyBorder="1" applyAlignment="1">
      <alignment horizontal="right"/>
    </xf>
    <xf numFmtId="0" fontId="3" fillId="8" borderId="36" xfId="0" applyFont="1" applyFill="1" applyBorder="1" applyAlignment="1">
      <alignment horizontal="right"/>
    </xf>
    <xf numFmtId="0" fontId="3" fillId="8" borderId="38" xfId="0" applyFont="1" applyFill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5" borderId="31" xfId="0" applyFont="1" applyFill="1" applyBorder="1" applyAlignment="1">
      <alignment horizontal="center" vertical="center" wrapText="1"/>
    </xf>
    <xf numFmtId="0" fontId="3" fillId="5" borderId="32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6" borderId="23" xfId="0" applyFont="1" applyFill="1" applyBorder="1" applyAlignment="1">
      <alignment horizontal="right" vertical="center"/>
    </xf>
    <xf numFmtId="0" fontId="3" fillId="6" borderId="36" xfId="0" applyFont="1" applyFill="1" applyBorder="1" applyAlignment="1">
      <alignment horizontal="right" vertical="center"/>
    </xf>
    <xf numFmtId="0" fontId="3" fillId="6" borderId="37" xfId="0" applyFont="1" applyFill="1" applyBorder="1" applyAlignment="1">
      <alignment horizontal="right" vertical="center"/>
    </xf>
    <xf numFmtId="0" fontId="1" fillId="0" borderId="4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6"/>
  <sheetViews>
    <sheetView workbookViewId="0">
      <selection activeCell="L10" sqref="L10"/>
    </sheetView>
  </sheetViews>
  <sheetFormatPr defaultRowHeight="14.4" x14ac:dyDescent="0.3"/>
  <cols>
    <col min="1" max="1" width="6.21875" bestFit="1" customWidth="1"/>
    <col min="2" max="2" width="21.77734375" bestFit="1" customWidth="1"/>
    <col min="3" max="3" width="10.33203125" bestFit="1" customWidth="1"/>
    <col min="4" max="4" width="12.5546875" bestFit="1" customWidth="1"/>
    <col min="5" max="5" width="7.44140625" bestFit="1" customWidth="1"/>
    <col min="6" max="6" width="17.44140625" bestFit="1" customWidth="1"/>
    <col min="7" max="7" width="10" bestFit="1" customWidth="1"/>
    <col min="8" max="8" width="14.109375" bestFit="1" customWidth="1"/>
    <col min="9" max="9" width="15.6640625" bestFit="1" customWidth="1"/>
  </cols>
  <sheetData>
    <row r="2" spans="1:9" x14ac:dyDescent="0.3">
      <c r="A2" s="1" t="s">
        <v>16</v>
      </c>
    </row>
    <row r="3" spans="1:9" x14ac:dyDescent="0.3">
      <c r="A3" s="1" t="s">
        <v>17</v>
      </c>
      <c r="H3" t="s">
        <v>19</v>
      </c>
    </row>
    <row r="4" spans="1:9" x14ac:dyDescent="0.3">
      <c r="A4" s="1" t="s">
        <v>18</v>
      </c>
    </row>
    <row r="5" spans="1:9" ht="15" thickBot="1" x14ac:dyDescent="0.35"/>
    <row r="6" spans="1:9" ht="28.8" customHeight="1" thickBot="1" x14ac:dyDescent="0.35">
      <c r="A6" s="19" t="s">
        <v>0</v>
      </c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1" t="s">
        <v>14</v>
      </c>
    </row>
    <row r="7" spans="1:9" x14ac:dyDescent="0.3">
      <c r="A7" s="6"/>
      <c r="B7" s="7"/>
      <c r="C7" s="7"/>
      <c r="D7" s="7"/>
      <c r="E7" s="7"/>
      <c r="F7" s="7"/>
      <c r="G7" s="7"/>
      <c r="H7" s="7"/>
      <c r="I7" s="8"/>
    </row>
    <row r="8" spans="1:9" x14ac:dyDescent="0.3">
      <c r="A8" s="9">
        <v>1</v>
      </c>
      <c r="B8" s="2" t="s">
        <v>13</v>
      </c>
      <c r="C8" s="2">
        <v>6000</v>
      </c>
      <c r="D8" s="2">
        <v>44400</v>
      </c>
      <c r="E8" s="2">
        <v>900</v>
      </c>
      <c r="F8" s="2">
        <f t="shared" ref="F8:F13" si="0">D8+E8</f>
        <v>45300</v>
      </c>
      <c r="G8" s="2">
        <f t="shared" ref="G8:G13" si="1">F8*12%</f>
        <v>5436</v>
      </c>
      <c r="H8" s="2">
        <f t="shared" ref="H8:H13" si="2">F8+G8</f>
        <v>50736</v>
      </c>
      <c r="I8" s="10">
        <v>53454</v>
      </c>
    </row>
    <row r="9" spans="1:9" ht="28.8" x14ac:dyDescent="0.3">
      <c r="A9" s="9">
        <v>2</v>
      </c>
      <c r="B9" s="3" t="s">
        <v>8</v>
      </c>
      <c r="C9" s="17">
        <v>6001</v>
      </c>
      <c r="D9" s="17">
        <v>31748</v>
      </c>
      <c r="E9" s="17">
        <v>900</v>
      </c>
      <c r="F9" s="17">
        <f t="shared" si="0"/>
        <v>32648</v>
      </c>
      <c r="G9" s="17">
        <f t="shared" si="1"/>
        <v>3917.7599999999998</v>
      </c>
      <c r="H9" s="17">
        <f t="shared" si="2"/>
        <v>36565.760000000002</v>
      </c>
      <c r="I9" s="18">
        <v>36565</v>
      </c>
    </row>
    <row r="10" spans="1:9" x14ac:dyDescent="0.3">
      <c r="A10" s="9">
        <v>3</v>
      </c>
      <c r="B10" s="2" t="s">
        <v>9</v>
      </c>
      <c r="C10" s="17">
        <v>6008</v>
      </c>
      <c r="D10" s="2">
        <v>9050</v>
      </c>
      <c r="E10" s="2">
        <v>0</v>
      </c>
      <c r="F10" s="2">
        <f t="shared" si="0"/>
        <v>9050</v>
      </c>
      <c r="G10" s="2">
        <f t="shared" si="1"/>
        <v>1086</v>
      </c>
      <c r="H10" s="2">
        <f t="shared" si="2"/>
        <v>10136</v>
      </c>
      <c r="I10" s="10">
        <v>10679</v>
      </c>
    </row>
    <row r="11" spans="1:9" x14ac:dyDescent="0.3">
      <c r="A11" s="9">
        <v>4</v>
      </c>
      <c r="B11" s="2" t="s">
        <v>10</v>
      </c>
      <c r="C11" s="17">
        <v>6012</v>
      </c>
      <c r="D11" s="2">
        <f>12600+2156</f>
        <v>14756</v>
      </c>
      <c r="E11" s="2">
        <v>900</v>
      </c>
      <c r="F11" s="2">
        <f t="shared" si="0"/>
        <v>15656</v>
      </c>
      <c r="G11" s="2">
        <f t="shared" si="1"/>
        <v>1878.72</v>
      </c>
      <c r="H11" s="2">
        <f t="shared" si="2"/>
        <v>17534.72</v>
      </c>
      <c r="I11" s="10">
        <v>17589</v>
      </c>
    </row>
    <row r="12" spans="1:9" x14ac:dyDescent="0.3">
      <c r="A12" s="9">
        <v>5</v>
      </c>
      <c r="B12" s="2" t="s">
        <v>11</v>
      </c>
      <c r="C12" s="17">
        <v>6010</v>
      </c>
      <c r="D12" s="2">
        <v>49380</v>
      </c>
      <c r="E12" s="2">
        <v>900</v>
      </c>
      <c r="F12" s="2">
        <f t="shared" si="0"/>
        <v>50280</v>
      </c>
      <c r="G12" s="2">
        <f t="shared" si="1"/>
        <v>6033.5999999999995</v>
      </c>
      <c r="H12" s="2">
        <f t="shared" si="2"/>
        <v>56313.599999999999</v>
      </c>
      <c r="I12" s="10">
        <v>59330</v>
      </c>
    </row>
    <row r="13" spans="1:9" x14ac:dyDescent="0.3">
      <c r="A13" s="9">
        <v>6</v>
      </c>
      <c r="B13" s="2" t="s">
        <v>12</v>
      </c>
      <c r="C13" s="17">
        <v>6015</v>
      </c>
      <c r="D13" s="2">
        <v>16800</v>
      </c>
      <c r="E13" s="2">
        <v>900</v>
      </c>
      <c r="F13" s="2">
        <f t="shared" si="0"/>
        <v>17700</v>
      </c>
      <c r="G13" s="2">
        <f t="shared" si="1"/>
        <v>2124</v>
      </c>
      <c r="H13" s="2">
        <f t="shared" si="2"/>
        <v>19824</v>
      </c>
      <c r="I13" s="10">
        <v>20886</v>
      </c>
    </row>
    <row r="14" spans="1:9" ht="15" thickBot="1" x14ac:dyDescent="0.35">
      <c r="A14" s="11"/>
      <c r="B14" s="2"/>
      <c r="C14" s="2"/>
      <c r="D14" s="2"/>
      <c r="E14" s="2"/>
      <c r="F14" s="4"/>
      <c r="G14" s="4"/>
      <c r="H14" s="5">
        <f>SUM(H8:H13)</f>
        <v>191110.08000000002</v>
      </c>
      <c r="I14" s="12">
        <f>SUM(I8:I13)</f>
        <v>198503</v>
      </c>
    </row>
    <row r="15" spans="1:9" ht="16.2" thickBot="1" x14ac:dyDescent="0.35">
      <c r="A15" s="13"/>
      <c r="B15" s="14"/>
      <c r="C15" s="14"/>
      <c r="D15" s="14"/>
      <c r="E15" s="15"/>
      <c r="F15" s="143" t="s">
        <v>15</v>
      </c>
      <c r="G15" s="144"/>
      <c r="H15" s="144"/>
      <c r="I15" s="22">
        <f>I14-H14</f>
        <v>7392.9199999999837</v>
      </c>
    </row>
    <row r="16" spans="1:9" x14ac:dyDescent="0.3">
      <c r="I16" s="16"/>
    </row>
  </sheetData>
  <mergeCells count="1">
    <mergeCell ref="F15:H1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topLeftCell="A58" workbookViewId="0">
      <selection activeCell="H51" sqref="H51"/>
    </sheetView>
  </sheetViews>
  <sheetFormatPr defaultRowHeight="14.4" x14ac:dyDescent="0.3"/>
  <cols>
    <col min="1" max="1" width="6.88671875" customWidth="1"/>
    <col min="2" max="2" width="35.33203125" customWidth="1"/>
    <col min="3" max="3" width="17.33203125" bestFit="1" customWidth="1"/>
    <col min="5" max="5" width="11.88671875" customWidth="1"/>
    <col min="6" max="6" width="17.77734375" customWidth="1"/>
  </cols>
  <sheetData>
    <row r="1" spans="1:11" ht="27" customHeight="1" x14ac:dyDescent="0.3">
      <c r="A1" s="157" t="s">
        <v>56</v>
      </c>
      <c r="B1" s="157"/>
      <c r="C1" s="157"/>
      <c r="D1" s="157"/>
      <c r="E1" s="157"/>
      <c r="F1" s="157"/>
    </row>
    <row r="2" spans="1:11" ht="15" thickBot="1" x14ac:dyDescent="0.35"/>
    <row r="3" spans="1:11" ht="24.6" customHeight="1" thickBot="1" x14ac:dyDescent="0.35">
      <c r="A3" s="24" t="s">
        <v>0</v>
      </c>
      <c r="B3" s="25" t="s">
        <v>20</v>
      </c>
      <c r="C3" s="25" t="s">
        <v>42</v>
      </c>
      <c r="D3" s="25" t="s">
        <v>21</v>
      </c>
      <c r="E3" s="25" t="s">
        <v>22</v>
      </c>
      <c r="F3" s="26" t="s">
        <v>23</v>
      </c>
    </row>
    <row r="4" spans="1:11" x14ac:dyDescent="0.3">
      <c r="A4" s="6"/>
      <c r="B4" s="7"/>
      <c r="C4" s="7"/>
      <c r="D4" s="7"/>
      <c r="E4" s="7"/>
      <c r="F4" s="8"/>
    </row>
    <row r="5" spans="1:11" x14ac:dyDescent="0.3">
      <c r="A5" s="27" t="s">
        <v>24</v>
      </c>
      <c r="B5" s="23" t="s">
        <v>25</v>
      </c>
      <c r="C5" s="2"/>
      <c r="D5" s="2"/>
      <c r="E5" s="2"/>
      <c r="F5" s="10"/>
    </row>
    <row r="6" spans="1:11" x14ac:dyDescent="0.3">
      <c r="A6" s="11"/>
      <c r="B6" s="23" t="s">
        <v>33</v>
      </c>
      <c r="C6" s="2"/>
      <c r="D6" s="2"/>
      <c r="E6" s="2"/>
      <c r="F6" s="10"/>
    </row>
    <row r="7" spans="1:11" x14ac:dyDescent="0.3">
      <c r="A7" s="11">
        <v>1</v>
      </c>
      <c r="B7" s="2" t="s">
        <v>26</v>
      </c>
      <c r="C7" s="2">
        <v>110</v>
      </c>
      <c r="D7" s="2" t="s">
        <v>44</v>
      </c>
      <c r="E7" s="2">
        <v>650</v>
      </c>
      <c r="F7" s="10">
        <f>C7*E7</f>
        <v>71500</v>
      </c>
    </row>
    <row r="8" spans="1:11" x14ac:dyDescent="0.3">
      <c r="A8" s="11">
        <v>2</v>
      </c>
      <c r="B8" s="2" t="s">
        <v>27</v>
      </c>
      <c r="C8" s="2">
        <f>20+20+10</f>
        <v>50</v>
      </c>
      <c r="D8" s="2" t="s">
        <v>45</v>
      </c>
      <c r="E8" s="2">
        <v>310</v>
      </c>
      <c r="F8" s="10">
        <f t="shared" ref="F8:F24" si="0">C8*E8</f>
        <v>15500</v>
      </c>
      <c r="I8">
        <f>1.5*1.5*0.1</f>
        <v>0.22500000000000001</v>
      </c>
      <c r="J8">
        <v>6</v>
      </c>
      <c r="K8">
        <f>I8*J8</f>
        <v>1.35</v>
      </c>
    </row>
    <row r="9" spans="1:11" x14ac:dyDescent="0.3">
      <c r="A9" s="11">
        <v>3</v>
      </c>
      <c r="B9" s="2" t="s">
        <v>28</v>
      </c>
      <c r="C9" s="2">
        <v>5000</v>
      </c>
      <c r="D9" s="2" t="s">
        <v>43</v>
      </c>
      <c r="E9" s="2">
        <v>12</v>
      </c>
      <c r="F9" s="10">
        <f t="shared" si="0"/>
        <v>60000</v>
      </c>
      <c r="I9">
        <f>0.6*0.3*0.3</f>
        <v>5.3999999999999999E-2</v>
      </c>
      <c r="J9">
        <v>60</v>
      </c>
      <c r="K9">
        <f>I9*J9</f>
        <v>3.2399999999999998</v>
      </c>
    </row>
    <row r="10" spans="1:11" x14ac:dyDescent="0.3">
      <c r="A10" s="11">
        <v>4</v>
      </c>
      <c r="B10" s="2" t="s">
        <v>29</v>
      </c>
      <c r="C10" s="2">
        <v>3</v>
      </c>
      <c r="D10" s="2" t="s">
        <v>46</v>
      </c>
      <c r="E10" s="2">
        <v>3100</v>
      </c>
      <c r="F10" s="10">
        <f t="shared" si="0"/>
        <v>9300</v>
      </c>
      <c r="K10">
        <f>K8+K9</f>
        <v>4.59</v>
      </c>
    </row>
    <row r="11" spans="1:11" x14ac:dyDescent="0.3">
      <c r="A11" s="11">
        <v>5</v>
      </c>
      <c r="B11" s="2" t="s">
        <v>30</v>
      </c>
      <c r="C11" s="2">
        <v>1</v>
      </c>
      <c r="D11" s="2" t="s">
        <v>46</v>
      </c>
      <c r="E11" s="2">
        <v>2900</v>
      </c>
      <c r="F11" s="10">
        <f t="shared" si="0"/>
        <v>2900</v>
      </c>
      <c r="K11">
        <f>K10*4</f>
        <v>18.36</v>
      </c>
    </row>
    <row r="12" spans="1:11" x14ac:dyDescent="0.3">
      <c r="A12" s="11">
        <v>6</v>
      </c>
      <c r="B12" s="2" t="s">
        <v>31</v>
      </c>
      <c r="C12" s="2">
        <v>6</v>
      </c>
      <c r="D12" s="2" t="s">
        <v>43</v>
      </c>
      <c r="E12" s="2">
        <v>2200</v>
      </c>
      <c r="F12" s="10">
        <f t="shared" si="0"/>
        <v>13200</v>
      </c>
    </row>
    <row r="13" spans="1:11" x14ac:dyDescent="0.3">
      <c r="A13" s="11">
        <v>7</v>
      </c>
      <c r="B13" s="2" t="s">
        <v>53</v>
      </c>
      <c r="C13" s="2">
        <v>1</v>
      </c>
      <c r="D13" s="2" t="s">
        <v>51</v>
      </c>
      <c r="E13" s="2">
        <v>4500</v>
      </c>
      <c r="F13" s="10">
        <f t="shared" si="0"/>
        <v>4500</v>
      </c>
    </row>
    <row r="14" spans="1:11" x14ac:dyDescent="0.3">
      <c r="A14" s="11"/>
      <c r="B14" s="2"/>
      <c r="C14" s="2"/>
      <c r="D14" s="2"/>
      <c r="E14" s="2"/>
      <c r="F14" s="10"/>
    </row>
    <row r="15" spans="1:11" x14ac:dyDescent="0.3">
      <c r="A15" s="11"/>
      <c r="B15" s="23" t="s">
        <v>32</v>
      </c>
      <c r="C15" s="2"/>
      <c r="D15" s="2"/>
      <c r="E15" s="2"/>
      <c r="F15" s="10"/>
    </row>
    <row r="16" spans="1:11" x14ac:dyDescent="0.3">
      <c r="A16" s="11">
        <v>1</v>
      </c>
      <c r="B16" s="2" t="s">
        <v>34</v>
      </c>
      <c r="C16" s="2">
        <f>(180*3*6)/100</f>
        <v>32.4</v>
      </c>
      <c r="D16" s="2" t="s">
        <v>46</v>
      </c>
      <c r="E16" s="2">
        <v>2000</v>
      </c>
      <c r="F16" s="10">
        <f t="shared" si="0"/>
        <v>64800</v>
      </c>
      <c r="I16">
        <f>11.7+7.5+11+7+7.5+7.5</f>
        <v>52.2</v>
      </c>
    </row>
    <row r="17" spans="1:6" x14ac:dyDescent="0.3">
      <c r="A17" s="11">
        <v>2</v>
      </c>
      <c r="B17" s="2" t="s">
        <v>35</v>
      </c>
      <c r="C17" s="2">
        <v>16</v>
      </c>
      <c r="D17" s="2" t="s">
        <v>47</v>
      </c>
      <c r="E17" s="2">
        <v>900</v>
      </c>
      <c r="F17" s="10">
        <f t="shared" si="0"/>
        <v>14400</v>
      </c>
    </row>
    <row r="18" spans="1:6" x14ac:dyDescent="0.3">
      <c r="A18" s="11">
        <v>3</v>
      </c>
      <c r="B18" s="2" t="s">
        <v>38</v>
      </c>
      <c r="C18" s="2">
        <v>10</v>
      </c>
      <c r="D18" s="2" t="s">
        <v>48</v>
      </c>
      <c r="E18" s="2">
        <v>1500</v>
      </c>
      <c r="F18" s="10">
        <f t="shared" si="0"/>
        <v>15000</v>
      </c>
    </row>
    <row r="19" spans="1:6" x14ac:dyDescent="0.3">
      <c r="A19" s="11">
        <v>4</v>
      </c>
      <c r="B19" s="2" t="s">
        <v>37</v>
      </c>
      <c r="C19" s="2"/>
      <c r="D19" s="2" t="s">
        <v>49</v>
      </c>
      <c r="E19" s="2">
        <f>(426.4*55)+(6000*6)+(60*70)</f>
        <v>63652</v>
      </c>
      <c r="F19" s="10">
        <f>E19</f>
        <v>63652</v>
      </c>
    </row>
    <row r="20" spans="1:6" x14ac:dyDescent="0.3">
      <c r="A20" s="11">
        <v>5</v>
      </c>
      <c r="B20" s="2" t="s">
        <v>36</v>
      </c>
      <c r="C20" s="2">
        <f>(210*6)</f>
        <v>1260</v>
      </c>
      <c r="D20" s="2" t="s">
        <v>52</v>
      </c>
      <c r="E20" s="2">
        <v>30</v>
      </c>
      <c r="F20" s="10">
        <f t="shared" si="0"/>
        <v>37800</v>
      </c>
    </row>
    <row r="21" spans="1:6" x14ac:dyDescent="0.3">
      <c r="A21" s="11">
        <v>6</v>
      </c>
      <c r="B21" s="2" t="s">
        <v>39</v>
      </c>
      <c r="C21" s="2"/>
      <c r="D21" s="2" t="s">
        <v>49</v>
      </c>
      <c r="E21" s="2">
        <f>(6*300)+600</f>
        <v>2400</v>
      </c>
      <c r="F21" s="10">
        <f>E21</f>
        <v>2400</v>
      </c>
    </row>
    <row r="22" spans="1:6" x14ac:dyDescent="0.3">
      <c r="A22" s="11">
        <v>7</v>
      </c>
      <c r="B22" s="2" t="s">
        <v>40</v>
      </c>
      <c r="C22" s="2">
        <v>6</v>
      </c>
      <c r="D22" s="2" t="s">
        <v>54</v>
      </c>
      <c r="E22" s="2">
        <v>600</v>
      </c>
      <c r="F22" s="10">
        <f t="shared" si="0"/>
        <v>3600</v>
      </c>
    </row>
    <row r="23" spans="1:6" x14ac:dyDescent="0.3">
      <c r="A23" s="11">
        <v>8</v>
      </c>
      <c r="B23" s="2" t="s">
        <v>41</v>
      </c>
      <c r="C23" s="2">
        <v>100</v>
      </c>
      <c r="D23" s="2" t="s">
        <v>52</v>
      </c>
      <c r="E23" s="2">
        <v>10</v>
      </c>
      <c r="F23" s="10">
        <f t="shared" si="0"/>
        <v>1000</v>
      </c>
    </row>
    <row r="24" spans="1:6" x14ac:dyDescent="0.3">
      <c r="A24" s="11">
        <v>9</v>
      </c>
      <c r="B24" s="2" t="s">
        <v>50</v>
      </c>
      <c r="C24" s="2">
        <v>16</v>
      </c>
      <c r="D24" s="2" t="s">
        <v>47</v>
      </c>
      <c r="E24" s="2">
        <v>900</v>
      </c>
      <c r="F24" s="10">
        <f t="shared" si="0"/>
        <v>14400</v>
      </c>
    </row>
    <row r="25" spans="1:6" ht="15" thickBot="1" x14ac:dyDescent="0.35">
      <c r="A25" s="11"/>
      <c r="B25" s="2"/>
      <c r="C25" s="2"/>
      <c r="D25" s="4"/>
      <c r="E25" s="4"/>
      <c r="F25" s="28"/>
    </row>
    <row r="26" spans="1:6" ht="16.2" thickBot="1" x14ac:dyDescent="0.35">
      <c r="A26" s="13"/>
      <c r="B26" s="14"/>
      <c r="C26" s="151" t="s">
        <v>55</v>
      </c>
      <c r="D26" s="152"/>
      <c r="E26" s="153"/>
      <c r="F26" s="29">
        <f>SUM(F7:F25)</f>
        <v>393952</v>
      </c>
    </row>
    <row r="28" spans="1:6" ht="15.6" x14ac:dyDescent="0.3">
      <c r="B28" s="64" t="s">
        <v>64</v>
      </c>
    </row>
    <row r="29" spans="1:6" ht="15" thickBot="1" x14ac:dyDescent="0.35"/>
    <row r="30" spans="1:6" ht="16.2" thickBot="1" x14ac:dyDescent="0.35">
      <c r="A30" s="24" t="s">
        <v>0</v>
      </c>
      <c r="B30" s="25" t="s">
        <v>20</v>
      </c>
      <c r="C30" s="25" t="s">
        <v>42</v>
      </c>
      <c r="D30" s="25" t="s">
        <v>21</v>
      </c>
    </row>
    <row r="31" spans="1:6" x14ac:dyDescent="0.3">
      <c r="A31" s="6"/>
      <c r="B31" s="7"/>
      <c r="C31" s="7"/>
      <c r="D31" s="7"/>
    </row>
    <row r="32" spans="1:6" x14ac:dyDescent="0.3">
      <c r="A32" s="27" t="s">
        <v>24</v>
      </c>
      <c r="B32" s="23" t="s">
        <v>25</v>
      </c>
      <c r="C32" s="2"/>
      <c r="D32" s="2"/>
    </row>
    <row r="33" spans="1:6" x14ac:dyDescent="0.3">
      <c r="A33" s="11"/>
      <c r="B33" s="23" t="s">
        <v>33</v>
      </c>
      <c r="C33" s="2"/>
      <c r="D33" s="2"/>
    </row>
    <row r="34" spans="1:6" x14ac:dyDescent="0.3">
      <c r="A34" s="11">
        <v>1</v>
      </c>
      <c r="B34" s="2" t="s">
        <v>26</v>
      </c>
      <c r="C34" s="2">
        <v>110</v>
      </c>
      <c r="D34" s="2" t="s">
        <v>44</v>
      </c>
    </row>
    <row r="35" spans="1:6" x14ac:dyDescent="0.3">
      <c r="A35" s="11">
        <v>2</v>
      </c>
      <c r="B35" s="2" t="s">
        <v>27</v>
      </c>
      <c r="C35" s="2">
        <f>20+20+10</f>
        <v>50</v>
      </c>
      <c r="D35" s="2" t="s">
        <v>45</v>
      </c>
    </row>
    <row r="36" spans="1:6" x14ac:dyDescent="0.3">
      <c r="A36" s="11">
        <v>3</v>
      </c>
      <c r="B36" s="2" t="s">
        <v>28</v>
      </c>
      <c r="C36" s="2">
        <v>5000</v>
      </c>
      <c r="D36" s="2" t="s">
        <v>43</v>
      </c>
    </row>
    <row r="37" spans="1:6" x14ac:dyDescent="0.3">
      <c r="A37" s="11">
        <v>4</v>
      </c>
      <c r="B37" s="2" t="s">
        <v>29</v>
      </c>
      <c r="C37" s="2">
        <v>3</v>
      </c>
      <c r="D37" s="2" t="s">
        <v>46</v>
      </c>
    </row>
    <row r="38" spans="1:6" x14ac:dyDescent="0.3">
      <c r="A38" s="11">
        <v>5</v>
      </c>
      <c r="B38" s="2" t="s">
        <v>30</v>
      </c>
      <c r="C38" s="2">
        <v>1</v>
      </c>
      <c r="D38" s="2" t="s">
        <v>46</v>
      </c>
    </row>
    <row r="39" spans="1:6" x14ac:dyDescent="0.3">
      <c r="A39" s="11">
        <v>6</v>
      </c>
      <c r="B39" s="2" t="s">
        <v>31</v>
      </c>
      <c r="C39" s="2">
        <v>6</v>
      </c>
      <c r="D39" s="2" t="s">
        <v>43</v>
      </c>
    </row>
    <row r="40" spans="1:6" x14ac:dyDescent="0.3">
      <c r="A40" s="11">
        <v>7</v>
      </c>
      <c r="B40" s="2" t="s">
        <v>53</v>
      </c>
      <c r="C40" s="2">
        <v>1</v>
      </c>
      <c r="D40" s="2" t="s">
        <v>51</v>
      </c>
    </row>
    <row r="41" spans="1:6" x14ac:dyDescent="0.3">
      <c r="A41" s="11"/>
      <c r="B41" s="2"/>
      <c r="C41" s="2"/>
      <c r="D41" s="2"/>
    </row>
    <row r="45" spans="1:6" ht="18" x14ac:dyDescent="0.3">
      <c r="A45" s="157" t="s">
        <v>56</v>
      </c>
      <c r="B45" s="157"/>
      <c r="C45" s="157"/>
      <c r="D45" s="157"/>
      <c r="E45" s="157"/>
      <c r="F45" s="157"/>
    </row>
    <row r="46" spans="1:6" ht="15" thickBot="1" x14ac:dyDescent="0.35"/>
    <row r="47" spans="1:6" ht="21" customHeight="1" thickBot="1" x14ac:dyDescent="0.35">
      <c r="A47" s="105" t="s">
        <v>0</v>
      </c>
      <c r="B47" s="106" t="s">
        <v>20</v>
      </c>
      <c r="C47" s="106" t="s">
        <v>42</v>
      </c>
      <c r="D47" s="106" t="s">
        <v>21</v>
      </c>
      <c r="E47" s="106" t="s">
        <v>22</v>
      </c>
      <c r="F47" s="107" t="s">
        <v>23</v>
      </c>
    </row>
    <row r="48" spans="1:6" x14ac:dyDescent="0.3">
      <c r="A48" s="6"/>
      <c r="B48" s="7"/>
      <c r="C48" s="7"/>
      <c r="D48" s="7"/>
      <c r="E48" s="7"/>
      <c r="F48" s="8"/>
    </row>
    <row r="49" spans="1:6" x14ac:dyDescent="0.3">
      <c r="A49" s="27" t="s">
        <v>24</v>
      </c>
      <c r="B49" s="23" t="s">
        <v>167</v>
      </c>
      <c r="C49" s="2"/>
      <c r="D49" s="2"/>
      <c r="E49" s="2"/>
      <c r="F49" s="10"/>
    </row>
    <row r="50" spans="1:6" x14ac:dyDescent="0.3">
      <c r="A50" s="11"/>
      <c r="B50" s="23" t="s">
        <v>169</v>
      </c>
      <c r="C50" s="2"/>
      <c r="D50" s="2"/>
      <c r="E50" s="2"/>
      <c r="F50" s="10"/>
    </row>
    <row r="51" spans="1:6" x14ac:dyDescent="0.3">
      <c r="A51" s="11">
        <v>1</v>
      </c>
      <c r="B51" s="2" t="s">
        <v>34</v>
      </c>
      <c r="C51" s="2">
        <f>(250*3.5*5)/100</f>
        <v>43.75</v>
      </c>
      <c r="D51" s="96" t="s">
        <v>46</v>
      </c>
      <c r="E51" s="2">
        <v>2400</v>
      </c>
      <c r="F51" s="10">
        <f t="shared" ref="F51:F53" si="1">C51*E51</f>
        <v>105000</v>
      </c>
    </row>
    <row r="52" spans="1:6" ht="28.8" x14ac:dyDescent="0.3">
      <c r="A52" s="110">
        <v>2</v>
      </c>
      <c r="B52" s="3" t="s">
        <v>172</v>
      </c>
      <c r="C52" s="89">
        <v>2</v>
      </c>
      <c r="D52" s="96" t="s">
        <v>165</v>
      </c>
      <c r="E52" s="89">
        <v>4000</v>
      </c>
      <c r="F52" s="111">
        <f t="shared" si="1"/>
        <v>8000</v>
      </c>
    </row>
    <row r="53" spans="1:6" ht="28.8" x14ac:dyDescent="0.3">
      <c r="A53" s="110">
        <v>3</v>
      </c>
      <c r="B53" s="3" t="s">
        <v>173</v>
      </c>
      <c r="C53" s="89">
        <v>15</v>
      </c>
      <c r="D53" s="96" t="s">
        <v>48</v>
      </c>
      <c r="E53" s="89">
        <v>1500</v>
      </c>
      <c r="F53" s="111">
        <f t="shared" si="1"/>
        <v>22500</v>
      </c>
    </row>
    <row r="54" spans="1:6" x14ac:dyDescent="0.3">
      <c r="A54" s="11">
        <v>4</v>
      </c>
      <c r="B54" s="2" t="s">
        <v>174</v>
      </c>
      <c r="C54" s="2">
        <f>(250*6)</f>
        <v>1500</v>
      </c>
      <c r="D54" s="96" t="s">
        <v>52</v>
      </c>
      <c r="E54" s="2">
        <v>10</v>
      </c>
      <c r="F54" s="10">
        <f t="shared" ref="F54" si="2">C54*E54</f>
        <v>15000</v>
      </c>
    </row>
    <row r="55" spans="1:6" x14ac:dyDescent="0.3">
      <c r="A55" s="11">
        <v>5</v>
      </c>
      <c r="B55" s="2" t="s">
        <v>40</v>
      </c>
      <c r="C55" s="2">
        <v>8</v>
      </c>
      <c r="D55" s="96" t="s">
        <v>54</v>
      </c>
      <c r="E55" s="2">
        <v>600</v>
      </c>
      <c r="F55" s="10">
        <f t="shared" ref="F55:F56" si="3">C55*E55</f>
        <v>4800</v>
      </c>
    </row>
    <row r="56" spans="1:6" ht="28.8" x14ac:dyDescent="0.3">
      <c r="A56" s="110">
        <v>6</v>
      </c>
      <c r="B56" s="109" t="s">
        <v>171</v>
      </c>
      <c r="C56" s="89">
        <v>24</v>
      </c>
      <c r="D56" s="96" t="s">
        <v>47</v>
      </c>
      <c r="E56" s="89">
        <v>900</v>
      </c>
      <c r="F56" s="111">
        <f t="shared" si="3"/>
        <v>21600</v>
      </c>
    </row>
    <row r="57" spans="1:6" ht="15" thickBot="1" x14ac:dyDescent="0.35">
      <c r="A57" s="11"/>
      <c r="B57" s="2"/>
      <c r="C57" s="4"/>
      <c r="D57" s="4"/>
      <c r="E57" s="4"/>
      <c r="F57" s="28"/>
    </row>
    <row r="58" spans="1:6" ht="16.2" thickBot="1" x14ac:dyDescent="0.35">
      <c r="A58" s="11"/>
      <c r="B58" s="108"/>
      <c r="C58" s="145" t="s">
        <v>166</v>
      </c>
      <c r="D58" s="146"/>
      <c r="E58" s="147"/>
      <c r="F58" s="104">
        <f>SUM(F51:F57)</f>
        <v>176900</v>
      </c>
    </row>
    <row r="59" spans="1:6" ht="15" customHeight="1" thickBot="1" x14ac:dyDescent="0.35">
      <c r="A59" s="11"/>
      <c r="B59" s="108"/>
      <c r="C59" s="148" t="s">
        <v>177</v>
      </c>
      <c r="D59" s="149"/>
      <c r="E59" s="150"/>
      <c r="F59" s="102">
        <f>C51*100</f>
        <v>4375</v>
      </c>
    </row>
    <row r="60" spans="1:6" ht="16.2" thickBot="1" x14ac:dyDescent="0.35">
      <c r="A60" s="13"/>
      <c r="B60" s="15"/>
      <c r="C60" s="154" t="s">
        <v>168</v>
      </c>
      <c r="D60" s="155"/>
      <c r="E60" s="156"/>
      <c r="F60" s="103">
        <f>F58/F59</f>
        <v>40.434285714285714</v>
      </c>
    </row>
    <row r="61" spans="1:6" x14ac:dyDescent="0.3">
      <c r="A61" s="6"/>
      <c r="B61" s="7"/>
      <c r="C61" s="7"/>
      <c r="D61" s="7"/>
      <c r="E61" s="7"/>
      <c r="F61" s="8"/>
    </row>
    <row r="62" spans="1:6" ht="28.8" x14ac:dyDescent="0.3">
      <c r="A62" s="27" t="s">
        <v>111</v>
      </c>
      <c r="B62" s="30" t="s">
        <v>170</v>
      </c>
      <c r="C62" s="2"/>
      <c r="D62" s="2"/>
      <c r="E62" s="2"/>
      <c r="F62" s="10"/>
    </row>
    <row r="63" spans="1:6" x14ac:dyDescent="0.3">
      <c r="A63" s="11"/>
      <c r="B63" s="23" t="s">
        <v>169</v>
      </c>
      <c r="C63" s="2"/>
      <c r="D63" s="2"/>
      <c r="E63" s="2"/>
      <c r="F63" s="10"/>
    </row>
    <row r="64" spans="1:6" x14ac:dyDescent="0.3">
      <c r="A64" s="11">
        <v>1</v>
      </c>
      <c r="B64" s="2" t="s">
        <v>34</v>
      </c>
      <c r="C64" s="2">
        <f>(230*3.5*5)/100</f>
        <v>40.25</v>
      </c>
      <c r="D64" s="2" t="s">
        <v>46</v>
      </c>
      <c r="E64" s="2">
        <v>2400</v>
      </c>
      <c r="F64" s="10">
        <f t="shared" ref="F64:F68" si="4">C64*E64</f>
        <v>96600</v>
      </c>
    </row>
    <row r="65" spans="1:13" x14ac:dyDescent="0.3">
      <c r="A65" s="11">
        <v>2</v>
      </c>
      <c r="B65" s="2" t="s">
        <v>164</v>
      </c>
      <c r="C65" s="2">
        <v>4</v>
      </c>
      <c r="D65" s="2" t="s">
        <v>165</v>
      </c>
      <c r="E65" s="2">
        <v>4000</v>
      </c>
      <c r="F65" s="10">
        <f t="shared" si="4"/>
        <v>16000</v>
      </c>
    </row>
    <row r="66" spans="1:13" x14ac:dyDescent="0.3">
      <c r="A66" s="11">
        <v>3</v>
      </c>
      <c r="B66" s="2" t="s">
        <v>38</v>
      </c>
      <c r="C66" s="2">
        <v>15</v>
      </c>
      <c r="D66" s="2" t="s">
        <v>48</v>
      </c>
      <c r="E66" s="2">
        <v>1500</v>
      </c>
      <c r="F66" s="10">
        <f t="shared" si="4"/>
        <v>22500</v>
      </c>
    </row>
    <row r="67" spans="1:13" x14ac:dyDescent="0.3">
      <c r="A67" s="11">
        <v>5</v>
      </c>
      <c r="B67" s="2" t="s">
        <v>40</v>
      </c>
      <c r="C67" s="2">
        <v>6</v>
      </c>
      <c r="D67" s="2" t="s">
        <v>54</v>
      </c>
      <c r="E67" s="2">
        <v>600</v>
      </c>
      <c r="F67" s="10">
        <f t="shared" si="4"/>
        <v>3600</v>
      </c>
    </row>
    <row r="68" spans="1:13" x14ac:dyDescent="0.3">
      <c r="A68" s="11">
        <v>6</v>
      </c>
      <c r="B68" s="2" t="s">
        <v>50</v>
      </c>
      <c r="C68" s="2">
        <v>8</v>
      </c>
      <c r="D68" s="2" t="s">
        <v>47</v>
      </c>
      <c r="E68" s="2">
        <v>900</v>
      </c>
      <c r="F68" s="10">
        <f t="shared" si="4"/>
        <v>7200</v>
      </c>
    </row>
    <row r="69" spans="1:13" ht="15" thickBot="1" x14ac:dyDescent="0.35">
      <c r="A69" s="11"/>
      <c r="B69" s="2"/>
      <c r="C69" s="4"/>
      <c r="D69" s="4"/>
      <c r="E69" s="4"/>
      <c r="F69" s="28"/>
    </row>
    <row r="70" spans="1:13" ht="16.2" thickBot="1" x14ac:dyDescent="0.35">
      <c r="A70" s="11"/>
      <c r="B70" s="108"/>
      <c r="C70" s="145" t="s">
        <v>166</v>
      </c>
      <c r="D70" s="146"/>
      <c r="E70" s="147"/>
      <c r="F70" s="104">
        <f>SUM(F64:F69)</f>
        <v>145900</v>
      </c>
      <c r="H70">
        <f>F58+F70</f>
        <v>322800</v>
      </c>
    </row>
    <row r="71" spans="1:13" ht="16.2" thickBot="1" x14ac:dyDescent="0.35">
      <c r="A71" s="11"/>
      <c r="B71" s="108"/>
      <c r="C71" s="148" t="s">
        <v>177</v>
      </c>
      <c r="D71" s="149"/>
      <c r="E71" s="150"/>
      <c r="F71" s="102">
        <f>C64*100</f>
        <v>4025</v>
      </c>
    </row>
    <row r="72" spans="1:13" ht="16.2" thickBot="1" x14ac:dyDescent="0.35">
      <c r="A72" s="13"/>
      <c r="B72" s="15"/>
      <c r="C72" s="154" t="s">
        <v>168</v>
      </c>
      <c r="D72" s="155"/>
      <c r="E72" s="156"/>
      <c r="F72" s="103">
        <f>F70/F71</f>
        <v>36.248447204968947</v>
      </c>
    </row>
    <row r="74" spans="1:13" x14ac:dyDescent="0.3">
      <c r="A74" s="27" t="s">
        <v>24</v>
      </c>
      <c r="B74" s="23" t="s">
        <v>25</v>
      </c>
      <c r="C74" s="2"/>
      <c r="D74" s="2"/>
      <c r="E74" s="2"/>
      <c r="F74" s="10"/>
    </row>
    <row r="75" spans="1:13" x14ac:dyDescent="0.3">
      <c r="A75" s="11"/>
      <c r="B75" s="23" t="s">
        <v>33</v>
      </c>
      <c r="C75" s="2"/>
      <c r="D75" s="2"/>
      <c r="E75" s="2"/>
      <c r="F75" s="10"/>
    </row>
    <row r="76" spans="1:13" x14ac:dyDescent="0.3">
      <c r="A76" s="11">
        <v>1</v>
      </c>
      <c r="B76" s="2" t="s">
        <v>26</v>
      </c>
      <c r="C76" s="2">
        <f>132/2</f>
        <v>66</v>
      </c>
      <c r="D76" s="2" t="s">
        <v>44</v>
      </c>
      <c r="E76" s="2">
        <v>650</v>
      </c>
      <c r="F76" s="10">
        <f>C76*E76</f>
        <v>42900</v>
      </c>
    </row>
    <row r="77" spans="1:13" x14ac:dyDescent="0.3">
      <c r="A77" s="11">
        <v>2</v>
      </c>
      <c r="B77" s="2" t="s">
        <v>27</v>
      </c>
      <c r="C77" s="2">
        <v>35</v>
      </c>
      <c r="D77" s="2" t="s">
        <v>45</v>
      </c>
      <c r="E77" s="2">
        <v>310</v>
      </c>
      <c r="F77" s="10">
        <f t="shared" ref="F77:F82" si="5">C77*E77</f>
        <v>10850</v>
      </c>
      <c r="J77">
        <f>2+0.5+1</f>
        <v>3.5</v>
      </c>
      <c r="K77">
        <v>7</v>
      </c>
      <c r="L77">
        <f>J77*K77</f>
        <v>24.5</v>
      </c>
      <c r="M77">
        <v>6</v>
      </c>
    </row>
    <row r="78" spans="1:13" x14ac:dyDescent="0.3">
      <c r="A78" s="11">
        <v>3</v>
      </c>
      <c r="B78" s="2" t="s">
        <v>28</v>
      </c>
      <c r="C78" s="2">
        <v>4000</v>
      </c>
      <c r="D78" s="2" t="s">
        <v>43</v>
      </c>
      <c r="E78" s="2">
        <v>12</v>
      </c>
      <c r="F78" s="10">
        <f t="shared" si="5"/>
        <v>48000</v>
      </c>
      <c r="J78">
        <f>7*500</f>
        <v>3500</v>
      </c>
    </row>
    <row r="79" spans="1:13" x14ac:dyDescent="0.3">
      <c r="A79" s="11">
        <v>4</v>
      </c>
      <c r="B79" s="2" t="s">
        <v>29</v>
      </c>
      <c r="C79" s="2">
        <v>3</v>
      </c>
      <c r="D79" s="2" t="s">
        <v>46</v>
      </c>
      <c r="E79" s="2">
        <v>3100</v>
      </c>
      <c r="F79" s="10">
        <f t="shared" si="5"/>
        <v>9300</v>
      </c>
    </row>
    <row r="80" spans="1:13" x14ac:dyDescent="0.3">
      <c r="A80" s="11">
        <v>5</v>
      </c>
      <c r="B80" s="2" t="s">
        <v>30</v>
      </c>
      <c r="C80" s="2">
        <v>1</v>
      </c>
      <c r="D80" s="2" t="s">
        <v>46</v>
      </c>
      <c r="E80" s="2">
        <v>2900</v>
      </c>
      <c r="F80" s="10">
        <f t="shared" si="5"/>
        <v>2900</v>
      </c>
    </row>
    <row r="81" spans="1:6" x14ac:dyDescent="0.3">
      <c r="A81" s="11">
        <v>6</v>
      </c>
      <c r="B81" s="2" t="s">
        <v>31</v>
      </c>
      <c r="C81" s="2">
        <v>7</v>
      </c>
      <c r="D81" s="2" t="s">
        <v>43</v>
      </c>
      <c r="E81" s="2">
        <v>2200</v>
      </c>
      <c r="F81" s="10">
        <f t="shared" si="5"/>
        <v>15400</v>
      </c>
    </row>
    <row r="82" spans="1:6" x14ac:dyDescent="0.3">
      <c r="A82" s="11">
        <v>7</v>
      </c>
      <c r="B82" s="2" t="s">
        <v>178</v>
      </c>
      <c r="C82" s="2">
        <f>132*1*0.1</f>
        <v>13.200000000000001</v>
      </c>
      <c r="D82" s="2" t="s">
        <v>51</v>
      </c>
      <c r="E82" s="2">
        <v>3500</v>
      </c>
      <c r="F82" s="10">
        <f t="shared" si="5"/>
        <v>46200.000000000007</v>
      </c>
    </row>
    <row r="83" spans="1:6" ht="15" thickBot="1" x14ac:dyDescent="0.35"/>
    <row r="84" spans="1:6" ht="16.2" thickBot="1" x14ac:dyDescent="0.35">
      <c r="C84" s="145" t="s">
        <v>175</v>
      </c>
      <c r="D84" s="146"/>
      <c r="E84" s="147"/>
      <c r="F84" s="104">
        <f>SUM(F76:F83)</f>
        <v>175550</v>
      </c>
    </row>
    <row r="85" spans="1:6" ht="16.2" thickBot="1" x14ac:dyDescent="0.35">
      <c r="C85" s="148" t="s">
        <v>177</v>
      </c>
      <c r="D85" s="149"/>
      <c r="E85" s="150"/>
      <c r="F85" s="102">
        <f>F59+F71</f>
        <v>8400</v>
      </c>
    </row>
    <row r="86" spans="1:6" ht="16.2" thickBot="1" x14ac:dyDescent="0.35">
      <c r="C86" s="154" t="s">
        <v>168</v>
      </c>
      <c r="D86" s="155"/>
      <c r="E86" s="156"/>
      <c r="F86" s="103">
        <f>F84/F85</f>
        <v>20.898809523809526</v>
      </c>
    </row>
    <row r="87" spans="1:6" ht="15" thickBot="1" x14ac:dyDescent="0.35"/>
    <row r="88" spans="1:6" ht="16.2" thickBot="1" x14ac:dyDescent="0.35">
      <c r="C88" s="145" t="s">
        <v>176</v>
      </c>
      <c r="D88" s="146"/>
      <c r="E88" s="147"/>
      <c r="F88" s="104">
        <f>F58+F70+F84</f>
        <v>498350</v>
      </c>
    </row>
    <row r="89" spans="1:6" ht="16.2" thickBot="1" x14ac:dyDescent="0.35">
      <c r="C89" s="154" t="s">
        <v>168</v>
      </c>
      <c r="D89" s="155"/>
      <c r="E89" s="156"/>
      <c r="F89" s="103">
        <f>F60+F72+F86</f>
        <v>97.581542443064194</v>
      </c>
    </row>
  </sheetData>
  <mergeCells count="14">
    <mergeCell ref="A1:F1"/>
    <mergeCell ref="A45:F45"/>
    <mergeCell ref="C58:E58"/>
    <mergeCell ref="C59:E59"/>
    <mergeCell ref="C60:E60"/>
    <mergeCell ref="C70:E70"/>
    <mergeCell ref="C71:E71"/>
    <mergeCell ref="C26:E26"/>
    <mergeCell ref="C89:E89"/>
    <mergeCell ref="C72:E72"/>
    <mergeCell ref="C84:E84"/>
    <mergeCell ref="C85:E85"/>
    <mergeCell ref="C86:E86"/>
    <mergeCell ref="C88:E8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21" sqref="B21"/>
    </sheetView>
  </sheetViews>
  <sheetFormatPr defaultRowHeight="14.4" x14ac:dyDescent="0.3"/>
  <cols>
    <col min="1" max="1" width="7.109375" bestFit="1" customWidth="1"/>
    <col min="2" max="2" width="33.77734375" bestFit="1" customWidth="1"/>
    <col min="3" max="3" width="26" bestFit="1" customWidth="1"/>
    <col min="4" max="4" width="8.5546875" bestFit="1" customWidth="1"/>
    <col min="5" max="5" width="13.5546875" customWidth="1"/>
    <col min="6" max="6" width="11.33203125" customWidth="1"/>
    <col min="7" max="7" width="13.77734375" customWidth="1"/>
    <col min="8" max="8" width="13" customWidth="1"/>
  </cols>
  <sheetData>
    <row r="1" spans="1:8" ht="27" customHeight="1" x14ac:dyDescent="0.3">
      <c r="A1" s="157" t="s">
        <v>57</v>
      </c>
      <c r="B1" s="157"/>
      <c r="C1" s="157"/>
      <c r="D1" s="157"/>
      <c r="E1" s="157"/>
      <c r="F1" s="157"/>
      <c r="G1" s="157"/>
      <c r="H1" s="157"/>
    </row>
    <row r="2" spans="1:8" ht="15" thickBot="1" x14ac:dyDescent="0.35"/>
    <row r="3" spans="1:8" ht="47.4" thickBot="1" x14ac:dyDescent="0.35">
      <c r="A3" s="24" t="s">
        <v>0</v>
      </c>
      <c r="B3" s="25" t="s">
        <v>20</v>
      </c>
      <c r="C3" s="25" t="s">
        <v>61</v>
      </c>
      <c r="D3" s="34" t="s">
        <v>21</v>
      </c>
      <c r="E3" s="51" t="s">
        <v>59</v>
      </c>
      <c r="F3" s="52" t="s">
        <v>23</v>
      </c>
      <c r="G3" s="39" t="s">
        <v>60</v>
      </c>
      <c r="H3" s="40" t="s">
        <v>23</v>
      </c>
    </row>
    <row r="4" spans="1:8" x14ac:dyDescent="0.3">
      <c r="A4" s="6"/>
      <c r="B4" s="7"/>
      <c r="C4" s="7"/>
      <c r="D4" s="35"/>
      <c r="E4" s="53"/>
      <c r="F4" s="54"/>
      <c r="G4" s="41"/>
      <c r="H4" s="42"/>
    </row>
    <row r="5" spans="1:8" ht="15.6" x14ac:dyDescent="0.3">
      <c r="A5" s="32"/>
      <c r="B5" s="63" t="s">
        <v>63</v>
      </c>
      <c r="C5" s="33"/>
      <c r="D5" s="36"/>
      <c r="E5" s="55"/>
      <c r="F5" s="56"/>
      <c r="G5" s="43"/>
      <c r="H5" s="44"/>
    </row>
    <row r="6" spans="1:8" x14ac:dyDescent="0.3">
      <c r="A6" s="32"/>
      <c r="B6" s="33"/>
      <c r="C6" s="33"/>
      <c r="D6" s="36"/>
      <c r="E6" s="55"/>
      <c r="F6" s="56"/>
      <c r="G6" s="43"/>
      <c r="H6" s="44"/>
    </row>
    <row r="7" spans="1:8" ht="43.2" x14ac:dyDescent="0.3">
      <c r="A7" s="27">
        <v>1</v>
      </c>
      <c r="B7" s="30" t="s">
        <v>62</v>
      </c>
      <c r="C7" s="31">
        <v>32</v>
      </c>
      <c r="D7" s="37" t="s">
        <v>58</v>
      </c>
      <c r="E7" s="57">
        <v>2400</v>
      </c>
      <c r="F7" s="58">
        <f>C7*E7</f>
        <v>76800</v>
      </c>
      <c r="G7" s="45">
        <v>2500</v>
      </c>
      <c r="H7" s="46">
        <f>C7*G7</f>
        <v>80000</v>
      </c>
    </row>
    <row r="8" spans="1:8" x14ac:dyDescent="0.3">
      <c r="A8" s="11"/>
      <c r="B8" s="23"/>
      <c r="C8" s="23"/>
      <c r="D8" s="38"/>
      <c r="E8" s="59"/>
      <c r="F8" s="60"/>
      <c r="G8" s="47"/>
      <c r="H8" s="48"/>
    </row>
    <row r="9" spans="1:8" ht="15" thickBot="1" x14ac:dyDescent="0.35">
      <c r="A9" s="13"/>
      <c r="B9" s="14"/>
      <c r="C9" s="14"/>
      <c r="D9" s="15"/>
      <c r="E9" s="61"/>
      <c r="F9" s="62"/>
      <c r="G9" s="49"/>
      <c r="H9" s="50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140"/>
  <sheetViews>
    <sheetView zoomScaleNormal="100" workbookViewId="0">
      <selection activeCell="H85" sqref="H85"/>
    </sheetView>
  </sheetViews>
  <sheetFormatPr defaultRowHeight="14.4" x14ac:dyDescent="0.3"/>
  <cols>
    <col min="1" max="1" width="7.109375" bestFit="1" customWidth="1"/>
    <col min="2" max="2" width="30.6640625" customWidth="1"/>
    <col min="3" max="3" width="35.88671875" bestFit="1" customWidth="1"/>
    <col min="4" max="4" width="17.44140625" customWidth="1"/>
  </cols>
  <sheetData>
    <row r="2" spans="1:4" ht="15.6" x14ac:dyDescent="0.3">
      <c r="B2" s="64" t="s">
        <v>64</v>
      </c>
    </row>
    <row r="3" spans="1:4" ht="15" thickBot="1" x14ac:dyDescent="0.35"/>
    <row r="4" spans="1:4" ht="16.2" thickBot="1" x14ac:dyDescent="0.35">
      <c r="A4" s="24" t="s">
        <v>0</v>
      </c>
      <c r="B4" s="25" t="s">
        <v>20</v>
      </c>
      <c r="C4" s="25" t="s">
        <v>42</v>
      </c>
      <c r="D4" s="25" t="s">
        <v>21</v>
      </c>
    </row>
    <row r="5" spans="1:4" x14ac:dyDescent="0.3">
      <c r="A5" s="6"/>
      <c r="B5" s="7"/>
      <c r="C5" s="7"/>
      <c r="D5" s="7"/>
    </row>
    <row r="6" spans="1:4" x14ac:dyDescent="0.3">
      <c r="A6" s="27" t="s">
        <v>24</v>
      </c>
      <c r="B6" s="23" t="s">
        <v>65</v>
      </c>
      <c r="C6" s="2"/>
      <c r="D6" s="2"/>
    </row>
    <row r="7" spans="1:4" x14ac:dyDescent="0.3">
      <c r="A7" s="11"/>
      <c r="B7" s="23" t="s">
        <v>66</v>
      </c>
      <c r="C7" s="2"/>
      <c r="D7" s="2"/>
    </row>
    <row r="8" spans="1:4" x14ac:dyDescent="0.3">
      <c r="A8" s="11">
        <v>1</v>
      </c>
      <c r="B8" s="2" t="s">
        <v>67</v>
      </c>
      <c r="C8" s="2"/>
      <c r="D8" s="2"/>
    </row>
    <row r="9" spans="1:4" x14ac:dyDescent="0.3">
      <c r="A9" s="11">
        <v>2</v>
      </c>
      <c r="B9" s="2" t="s">
        <v>68</v>
      </c>
      <c r="C9" s="2"/>
      <c r="D9" s="2"/>
    </row>
    <row r="10" spans="1:4" x14ac:dyDescent="0.3">
      <c r="A10" s="11">
        <v>3</v>
      </c>
      <c r="B10" s="2" t="s">
        <v>69</v>
      </c>
      <c r="C10" s="2"/>
      <c r="D10" s="2"/>
    </row>
    <row r="11" spans="1:4" x14ac:dyDescent="0.3">
      <c r="A11" s="11">
        <v>4</v>
      </c>
      <c r="B11" s="2" t="s">
        <v>78</v>
      </c>
      <c r="C11" s="2"/>
      <c r="D11" s="2"/>
    </row>
    <row r="12" spans="1:4" x14ac:dyDescent="0.3">
      <c r="A12" s="11">
        <v>5</v>
      </c>
      <c r="B12" s="2" t="s">
        <v>70</v>
      </c>
      <c r="C12" s="2"/>
      <c r="D12" s="2"/>
    </row>
    <row r="13" spans="1:4" x14ac:dyDescent="0.3">
      <c r="A13" s="11">
        <v>6</v>
      </c>
      <c r="B13" s="2" t="s">
        <v>71</v>
      </c>
      <c r="C13" s="2"/>
      <c r="D13" s="2"/>
    </row>
    <row r="14" spans="1:4" x14ac:dyDescent="0.3">
      <c r="A14" s="11">
        <v>7</v>
      </c>
      <c r="B14" s="2" t="s">
        <v>72</v>
      </c>
      <c r="C14" s="2"/>
      <c r="D14" s="2"/>
    </row>
    <row r="15" spans="1:4" x14ac:dyDescent="0.3">
      <c r="A15" s="2">
        <v>8</v>
      </c>
      <c r="B15" s="2" t="s">
        <v>76</v>
      </c>
      <c r="C15" s="2"/>
      <c r="D15" s="2"/>
    </row>
    <row r="16" spans="1:4" x14ac:dyDescent="0.3">
      <c r="A16" s="17">
        <v>9</v>
      </c>
      <c r="B16" s="17" t="s">
        <v>73</v>
      </c>
      <c r="C16" s="2"/>
      <c r="D16" s="2"/>
    </row>
    <row r="17" spans="1:4" x14ac:dyDescent="0.3">
      <c r="A17" s="17">
        <v>10</v>
      </c>
      <c r="B17" s="17" t="s">
        <v>79</v>
      </c>
      <c r="C17" s="2"/>
      <c r="D17" s="2"/>
    </row>
    <row r="18" spans="1:4" x14ac:dyDescent="0.3">
      <c r="A18" s="17">
        <v>11</v>
      </c>
      <c r="B18" s="17" t="s">
        <v>74</v>
      </c>
      <c r="C18" s="2"/>
      <c r="D18" s="2"/>
    </row>
    <row r="19" spans="1:4" x14ac:dyDescent="0.3">
      <c r="A19" s="17">
        <v>12</v>
      </c>
      <c r="B19" s="17" t="s">
        <v>75</v>
      </c>
      <c r="C19" s="2"/>
      <c r="D19" s="2"/>
    </row>
    <row r="20" spans="1:4" x14ac:dyDescent="0.3">
      <c r="A20" s="2">
        <v>13</v>
      </c>
      <c r="B20" s="2" t="s">
        <v>77</v>
      </c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7" spans="1:4" ht="30.6" customHeight="1" x14ac:dyDescent="0.3">
      <c r="A27" s="158" t="s">
        <v>109</v>
      </c>
      <c r="B27" s="158"/>
      <c r="C27" s="158"/>
      <c r="D27" s="158"/>
    </row>
    <row r="28" spans="1:4" ht="14.4" customHeight="1" x14ac:dyDescent="0.35">
      <c r="A28" s="159" t="s">
        <v>110</v>
      </c>
      <c r="B28" s="159"/>
      <c r="C28" s="159"/>
      <c r="D28" s="159"/>
    </row>
    <row r="29" spans="1:4" ht="15" thickBot="1" x14ac:dyDescent="0.35"/>
    <row r="30" spans="1:4" ht="16.2" thickBot="1" x14ac:dyDescent="0.35">
      <c r="A30" s="24" t="s">
        <v>82</v>
      </c>
      <c r="B30" s="25" t="s">
        <v>81</v>
      </c>
      <c r="C30" s="25" t="s">
        <v>83</v>
      </c>
      <c r="D30" s="26" t="s">
        <v>84</v>
      </c>
    </row>
    <row r="31" spans="1:4" x14ac:dyDescent="0.3">
      <c r="A31" s="6"/>
      <c r="B31" s="7"/>
      <c r="C31" s="7"/>
      <c r="D31" s="8"/>
    </row>
    <row r="32" spans="1:4" ht="18" x14ac:dyDescent="0.35">
      <c r="A32" s="27" t="s">
        <v>24</v>
      </c>
      <c r="B32" s="72" t="s">
        <v>65</v>
      </c>
      <c r="C32" s="2"/>
      <c r="D32" s="10"/>
    </row>
    <row r="33" spans="1:4" x14ac:dyDescent="0.3">
      <c r="A33" s="65">
        <v>1</v>
      </c>
      <c r="B33" s="23" t="s">
        <v>80</v>
      </c>
      <c r="C33" s="2"/>
      <c r="D33" s="10"/>
    </row>
    <row r="34" spans="1:4" x14ac:dyDescent="0.3">
      <c r="A34" s="11"/>
      <c r="B34" s="2"/>
      <c r="C34" s="2" t="s">
        <v>68</v>
      </c>
      <c r="D34" s="10"/>
    </row>
    <row r="35" spans="1:4" x14ac:dyDescent="0.3">
      <c r="A35" s="11"/>
      <c r="B35" s="2"/>
      <c r="C35" s="2" t="s">
        <v>85</v>
      </c>
      <c r="D35" s="10"/>
    </row>
    <row r="36" spans="1:4" x14ac:dyDescent="0.3">
      <c r="A36" s="11"/>
      <c r="B36" s="2"/>
      <c r="C36" s="2" t="s">
        <v>86</v>
      </c>
      <c r="D36" s="10"/>
    </row>
    <row r="37" spans="1:4" x14ac:dyDescent="0.3">
      <c r="A37" s="11"/>
      <c r="B37" s="2"/>
      <c r="C37" s="17" t="s">
        <v>87</v>
      </c>
      <c r="D37" s="10"/>
    </row>
    <row r="38" spans="1:4" x14ac:dyDescent="0.3">
      <c r="A38" s="11"/>
      <c r="B38" s="2"/>
      <c r="C38" s="2" t="s">
        <v>88</v>
      </c>
      <c r="D38" s="10" t="s">
        <v>93</v>
      </c>
    </row>
    <row r="39" spans="1:4" x14ac:dyDescent="0.3">
      <c r="A39" s="11"/>
      <c r="B39" s="2"/>
      <c r="C39" s="2" t="s">
        <v>89</v>
      </c>
      <c r="D39" s="10" t="s">
        <v>90</v>
      </c>
    </row>
    <row r="40" spans="1:4" x14ac:dyDescent="0.3">
      <c r="A40" s="11"/>
      <c r="B40" s="2"/>
      <c r="C40" s="2" t="s">
        <v>97</v>
      </c>
      <c r="D40" s="10" t="s">
        <v>91</v>
      </c>
    </row>
    <row r="41" spans="1:4" x14ac:dyDescent="0.3">
      <c r="A41" s="11"/>
      <c r="B41" s="2"/>
      <c r="C41" s="2" t="s">
        <v>92</v>
      </c>
      <c r="D41" s="10" t="s">
        <v>91</v>
      </c>
    </row>
    <row r="42" spans="1:4" x14ac:dyDescent="0.3">
      <c r="A42" s="11"/>
      <c r="B42" s="2"/>
      <c r="C42" s="2" t="s">
        <v>70</v>
      </c>
      <c r="D42" s="10"/>
    </row>
    <row r="43" spans="1:4" x14ac:dyDescent="0.3">
      <c r="A43" s="11"/>
      <c r="B43" s="2"/>
      <c r="C43" s="2"/>
      <c r="D43" s="10"/>
    </row>
    <row r="44" spans="1:4" x14ac:dyDescent="0.3">
      <c r="A44" s="65">
        <v>2</v>
      </c>
      <c r="B44" s="23" t="s">
        <v>94</v>
      </c>
      <c r="C44" s="2"/>
      <c r="D44" s="10"/>
    </row>
    <row r="45" spans="1:4" x14ac:dyDescent="0.3">
      <c r="A45" s="67"/>
      <c r="B45" s="2"/>
      <c r="C45" s="2" t="s">
        <v>95</v>
      </c>
      <c r="D45" s="10"/>
    </row>
    <row r="46" spans="1:4" x14ac:dyDescent="0.3">
      <c r="A46" s="67"/>
      <c r="B46" s="2"/>
      <c r="C46" s="2" t="s">
        <v>89</v>
      </c>
      <c r="D46" s="10"/>
    </row>
    <row r="47" spans="1:4" x14ac:dyDescent="0.3">
      <c r="A47" s="67"/>
      <c r="B47" s="2"/>
      <c r="C47" s="2" t="s">
        <v>97</v>
      </c>
      <c r="D47" s="10"/>
    </row>
    <row r="48" spans="1:4" x14ac:dyDescent="0.3">
      <c r="A48" s="67"/>
      <c r="B48" s="2"/>
      <c r="C48" s="2" t="s">
        <v>96</v>
      </c>
      <c r="D48" s="10"/>
    </row>
    <row r="49" spans="1:4" x14ac:dyDescent="0.3">
      <c r="A49" s="11"/>
      <c r="B49" s="2"/>
      <c r="C49" s="2" t="s">
        <v>85</v>
      </c>
      <c r="D49" s="10"/>
    </row>
    <row r="50" spans="1:4" x14ac:dyDescent="0.3">
      <c r="A50" s="11"/>
      <c r="B50" s="2"/>
      <c r="C50" s="17" t="s">
        <v>87</v>
      </c>
      <c r="D50" s="10"/>
    </row>
    <row r="51" spans="1:4" x14ac:dyDescent="0.3">
      <c r="A51" s="11"/>
      <c r="B51" s="2"/>
      <c r="C51" s="2" t="s">
        <v>70</v>
      </c>
      <c r="D51" s="10"/>
    </row>
    <row r="52" spans="1:4" x14ac:dyDescent="0.3">
      <c r="A52" s="11"/>
      <c r="B52" s="2"/>
      <c r="C52" s="2"/>
      <c r="D52" s="10"/>
    </row>
    <row r="53" spans="1:4" x14ac:dyDescent="0.3">
      <c r="A53" s="65">
        <v>3</v>
      </c>
      <c r="B53" s="23" t="s">
        <v>98</v>
      </c>
      <c r="C53" s="2"/>
      <c r="D53" s="10"/>
    </row>
    <row r="54" spans="1:4" x14ac:dyDescent="0.3">
      <c r="A54" s="67"/>
      <c r="B54" s="2"/>
      <c r="C54" s="2" t="s">
        <v>89</v>
      </c>
      <c r="D54" s="10"/>
    </row>
    <row r="55" spans="1:4" x14ac:dyDescent="0.3">
      <c r="A55" s="67"/>
      <c r="B55" s="2"/>
      <c r="C55" s="2" t="s">
        <v>86</v>
      </c>
      <c r="D55" s="10"/>
    </row>
    <row r="56" spans="1:4" x14ac:dyDescent="0.3">
      <c r="A56" s="67"/>
      <c r="B56" s="2"/>
      <c r="C56" s="17" t="s">
        <v>97</v>
      </c>
      <c r="D56" s="10"/>
    </row>
    <row r="57" spans="1:4" x14ac:dyDescent="0.3">
      <c r="A57" s="67"/>
      <c r="B57" s="2"/>
      <c r="C57" s="2" t="s">
        <v>96</v>
      </c>
      <c r="D57" s="10"/>
    </row>
    <row r="58" spans="1:4" x14ac:dyDescent="0.3">
      <c r="A58" s="11"/>
      <c r="B58" s="2"/>
      <c r="C58" s="2" t="s">
        <v>85</v>
      </c>
      <c r="D58" s="10"/>
    </row>
    <row r="59" spans="1:4" x14ac:dyDescent="0.3">
      <c r="A59" s="11"/>
      <c r="B59" s="2"/>
      <c r="C59" s="17" t="s">
        <v>87</v>
      </c>
      <c r="D59" s="10"/>
    </row>
    <row r="60" spans="1:4" x14ac:dyDescent="0.3">
      <c r="A60" s="11"/>
      <c r="B60" s="2"/>
      <c r="C60" s="2" t="s">
        <v>88</v>
      </c>
      <c r="D60" s="10"/>
    </row>
    <row r="61" spans="1:4" x14ac:dyDescent="0.3">
      <c r="A61" s="11"/>
      <c r="B61" s="2"/>
      <c r="C61" s="2" t="s">
        <v>70</v>
      </c>
      <c r="D61" s="10"/>
    </row>
    <row r="62" spans="1:4" x14ac:dyDescent="0.3">
      <c r="A62" s="11"/>
      <c r="B62" s="2"/>
      <c r="C62" s="2"/>
      <c r="D62" s="10"/>
    </row>
    <row r="63" spans="1:4" x14ac:dyDescent="0.3">
      <c r="A63" s="65">
        <v>4</v>
      </c>
      <c r="B63" s="23" t="s">
        <v>99</v>
      </c>
      <c r="C63" s="2"/>
      <c r="D63" s="10"/>
    </row>
    <row r="64" spans="1:4" x14ac:dyDescent="0.3">
      <c r="A64" s="67"/>
      <c r="B64" s="2"/>
      <c r="C64" s="2" t="s">
        <v>86</v>
      </c>
      <c r="D64" s="10"/>
    </row>
    <row r="65" spans="1:4" x14ac:dyDescent="0.3">
      <c r="A65" s="67"/>
      <c r="B65" s="2"/>
      <c r="C65" s="2" t="s">
        <v>96</v>
      </c>
      <c r="D65" s="10"/>
    </row>
    <row r="66" spans="1:4" x14ac:dyDescent="0.3">
      <c r="A66" s="67"/>
      <c r="B66" s="2"/>
      <c r="C66" s="17" t="s">
        <v>97</v>
      </c>
      <c r="D66" s="10"/>
    </row>
    <row r="67" spans="1:4" x14ac:dyDescent="0.3">
      <c r="A67" s="67"/>
      <c r="B67" s="2"/>
      <c r="C67" s="2" t="s">
        <v>88</v>
      </c>
      <c r="D67" s="10"/>
    </row>
    <row r="68" spans="1:4" x14ac:dyDescent="0.3">
      <c r="A68" s="11"/>
      <c r="B68" s="2"/>
      <c r="C68" s="17" t="s">
        <v>87</v>
      </c>
      <c r="D68" s="10"/>
    </row>
    <row r="69" spans="1:4" x14ac:dyDescent="0.3">
      <c r="A69" s="11"/>
      <c r="B69" s="2"/>
      <c r="C69" s="2" t="s">
        <v>70</v>
      </c>
      <c r="D69" s="10"/>
    </row>
    <row r="70" spans="1:4" x14ac:dyDescent="0.3">
      <c r="A70" s="11"/>
      <c r="B70" s="2"/>
      <c r="C70" s="2"/>
      <c r="D70" s="10"/>
    </row>
    <row r="71" spans="1:4" x14ac:dyDescent="0.3">
      <c r="A71" s="65">
        <v>5</v>
      </c>
      <c r="B71" s="23" t="s">
        <v>100</v>
      </c>
      <c r="C71" s="2"/>
      <c r="D71" s="10"/>
    </row>
    <row r="72" spans="1:4" x14ac:dyDescent="0.3">
      <c r="A72" s="67"/>
      <c r="B72" s="2"/>
      <c r="C72" s="2" t="s">
        <v>86</v>
      </c>
      <c r="D72" s="10"/>
    </row>
    <row r="73" spans="1:4" x14ac:dyDescent="0.3">
      <c r="A73" s="67"/>
      <c r="B73" s="2"/>
      <c r="C73" s="2" t="s">
        <v>89</v>
      </c>
      <c r="D73" s="10" t="s">
        <v>90</v>
      </c>
    </row>
    <row r="74" spans="1:4" x14ac:dyDescent="0.3">
      <c r="A74" s="67"/>
      <c r="B74" s="2"/>
      <c r="C74" s="17" t="s">
        <v>97</v>
      </c>
      <c r="D74" s="10"/>
    </row>
    <row r="75" spans="1:4" x14ac:dyDescent="0.3">
      <c r="A75" s="67"/>
      <c r="B75" s="2"/>
      <c r="C75" s="2" t="s">
        <v>88</v>
      </c>
      <c r="D75" s="10"/>
    </row>
    <row r="76" spans="1:4" x14ac:dyDescent="0.3">
      <c r="A76" s="11"/>
      <c r="B76" s="2"/>
      <c r="C76" s="17" t="s">
        <v>85</v>
      </c>
      <c r="D76" s="10"/>
    </row>
    <row r="77" spans="1:4" x14ac:dyDescent="0.3">
      <c r="A77" s="11"/>
      <c r="B77" s="2"/>
      <c r="C77" s="17" t="s">
        <v>87</v>
      </c>
      <c r="D77" s="10"/>
    </row>
    <row r="78" spans="1:4" x14ac:dyDescent="0.3">
      <c r="A78" s="11"/>
      <c r="B78" s="2"/>
      <c r="C78" s="2" t="s">
        <v>70</v>
      </c>
      <c r="D78" s="10"/>
    </row>
    <row r="79" spans="1:4" x14ac:dyDescent="0.3">
      <c r="A79" s="11"/>
      <c r="B79" s="2"/>
      <c r="C79" s="2"/>
      <c r="D79" s="10"/>
    </row>
    <row r="80" spans="1:4" x14ac:dyDescent="0.3">
      <c r="A80" s="65">
        <v>6</v>
      </c>
      <c r="B80" s="23" t="s">
        <v>101</v>
      </c>
      <c r="C80" s="2"/>
      <c r="D80" s="10"/>
    </row>
    <row r="81" spans="1:4" x14ac:dyDescent="0.3">
      <c r="A81" s="11"/>
      <c r="B81" s="2"/>
      <c r="C81" s="17" t="s">
        <v>102</v>
      </c>
      <c r="D81" s="10"/>
    </row>
    <row r="82" spans="1:4" x14ac:dyDescent="0.3">
      <c r="A82" s="11"/>
      <c r="B82" s="2"/>
      <c r="C82" s="17" t="s">
        <v>103</v>
      </c>
      <c r="D82" s="10"/>
    </row>
    <row r="83" spans="1:4" x14ac:dyDescent="0.3">
      <c r="A83" s="11"/>
      <c r="B83" s="2"/>
      <c r="C83" s="17" t="s">
        <v>104</v>
      </c>
      <c r="D83" s="10"/>
    </row>
    <row r="84" spans="1:4" x14ac:dyDescent="0.3">
      <c r="A84" s="11"/>
      <c r="B84" s="2"/>
      <c r="C84" s="17" t="s">
        <v>105</v>
      </c>
      <c r="D84" s="10"/>
    </row>
    <row r="85" spans="1:4" x14ac:dyDescent="0.3">
      <c r="A85" s="11"/>
      <c r="B85" s="66"/>
      <c r="C85" s="17" t="s">
        <v>106</v>
      </c>
      <c r="D85" s="10"/>
    </row>
    <row r="86" spans="1:4" x14ac:dyDescent="0.3">
      <c r="A86" s="11"/>
      <c r="B86" s="2"/>
      <c r="C86" s="17" t="s">
        <v>87</v>
      </c>
      <c r="D86" s="10"/>
    </row>
    <row r="87" spans="1:4" x14ac:dyDescent="0.3">
      <c r="A87" s="11"/>
      <c r="B87" s="2"/>
      <c r="C87" s="2" t="s">
        <v>70</v>
      </c>
      <c r="D87" s="10"/>
    </row>
    <row r="88" spans="1:4" x14ac:dyDescent="0.3">
      <c r="A88" s="11"/>
      <c r="B88" s="2"/>
      <c r="C88" s="2"/>
      <c r="D88" s="10"/>
    </row>
    <row r="89" spans="1:4" x14ac:dyDescent="0.3">
      <c r="A89" s="65">
        <v>7</v>
      </c>
      <c r="B89" s="23" t="s">
        <v>107</v>
      </c>
      <c r="C89" s="2" t="s">
        <v>108</v>
      </c>
      <c r="D89" s="10"/>
    </row>
    <row r="90" spans="1:4" x14ac:dyDescent="0.3">
      <c r="A90" s="70"/>
      <c r="B90" s="71"/>
      <c r="C90" s="4"/>
      <c r="D90" s="28"/>
    </row>
    <row r="91" spans="1:4" ht="15" thickBot="1" x14ac:dyDescent="0.35">
      <c r="A91" s="13"/>
      <c r="B91" s="68"/>
      <c r="C91" s="14"/>
      <c r="D91" s="69"/>
    </row>
    <row r="92" spans="1:4" ht="18" x14ac:dyDescent="0.35">
      <c r="A92" s="73" t="s">
        <v>111</v>
      </c>
      <c r="B92" s="74" t="s">
        <v>112</v>
      </c>
      <c r="C92" s="7"/>
      <c r="D92" s="8"/>
    </row>
    <row r="93" spans="1:4" x14ac:dyDescent="0.3">
      <c r="A93" s="65">
        <v>1</v>
      </c>
      <c r="B93" s="23" t="s">
        <v>113</v>
      </c>
      <c r="C93" s="2"/>
      <c r="D93" s="10"/>
    </row>
    <row r="94" spans="1:4" x14ac:dyDescent="0.3">
      <c r="A94" s="11"/>
      <c r="B94" s="2"/>
      <c r="C94" s="2" t="s">
        <v>114</v>
      </c>
      <c r="D94" s="10"/>
    </row>
    <row r="95" spans="1:4" x14ac:dyDescent="0.3">
      <c r="A95" s="11"/>
      <c r="B95" s="2"/>
      <c r="C95" s="2" t="s">
        <v>115</v>
      </c>
      <c r="D95" s="10"/>
    </row>
    <row r="96" spans="1:4" x14ac:dyDescent="0.3">
      <c r="A96" s="11"/>
      <c r="B96" s="2"/>
      <c r="C96" s="2" t="s">
        <v>116</v>
      </c>
      <c r="D96" s="10"/>
    </row>
    <row r="97" spans="1:4" x14ac:dyDescent="0.3">
      <c r="A97" s="11"/>
      <c r="B97" s="2"/>
      <c r="C97" s="2" t="s">
        <v>117</v>
      </c>
      <c r="D97" s="10"/>
    </row>
    <row r="98" spans="1:4" x14ac:dyDescent="0.3">
      <c r="A98" s="11"/>
      <c r="B98" s="2"/>
      <c r="C98" s="2" t="s">
        <v>118</v>
      </c>
      <c r="D98" s="10"/>
    </row>
    <row r="99" spans="1:4" x14ac:dyDescent="0.3">
      <c r="A99" s="11"/>
      <c r="B99" s="2"/>
      <c r="C99" s="2" t="s">
        <v>86</v>
      </c>
      <c r="D99" s="10"/>
    </row>
    <row r="100" spans="1:4" x14ac:dyDescent="0.3">
      <c r="A100" s="11"/>
      <c r="B100" s="2"/>
      <c r="C100" s="2" t="s">
        <v>119</v>
      </c>
      <c r="D100" s="10"/>
    </row>
    <row r="101" spans="1:4" x14ac:dyDescent="0.3">
      <c r="A101" s="11"/>
      <c r="B101" s="2"/>
      <c r="C101" s="2" t="s">
        <v>70</v>
      </c>
      <c r="D101" s="10"/>
    </row>
    <row r="102" spans="1:4" x14ac:dyDescent="0.3">
      <c r="A102" s="11"/>
      <c r="B102" s="2"/>
      <c r="C102" s="2"/>
      <c r="D102" s="10"/>
    </row>
    <row r="103" spans="1:4" x14ac:dyDescent="0.3">
      <c r="A103" s="65">
        <v>2</v>
      </c>
      <c r="B103" s="23" t="s">
        <v>120</v>
      </c>
      <c r="C103" s="2"/>
      <c r="D103" s="10"/>
    </row>
    <row r="104" spans="1:4" x14ac:dyDescent="0.3">
      <c r="A104" s="11"/>
      <c r="B104" s="2"/>
      <c r="C104" s="2" t="s">
        <v>121</v>
      </c>
      <c r="D104" s="10"/>
    </row>
    <row r="105" spans="1:4" x14ac:dyDescent="0.3">
      <c r="A105" s="11"/>
      <c r="B105" s="2"/>
      <c r="C105" s="2" t="s">
        <v>122</v>
      </c>
      <c r="D105" s="10"/>
    </row>
    <row r="106" spans="1:4" x14ac:dyDescent="0.3">
      <c r="A106" s="11"/>
      <c r="B106" s="2"/>
      <c r="C106" s="2" t="s">
        <v>85</v>
      </c>
      <c r="D106" s="10"/>
    </row>
    <row r="107" spans="1:4" x14ac:dyDescent="0.3">
      <c r="A107" s="11"/>
      <c r="B107" s="2"/>
      <c r="C107" s="2" t="s">
        <v>97</v>
      </c>
      <c r="D107" s="10"/>
    </row>
    <row r="108" spans="1:4" x14ac:dyDescent="0.3">
      <c r="A108" s="11"/>
      <c r="B108" s="2"/>
      <c r="C108" s="2" t="s">
        <v>92</v>
      </c>
      <c r="D108" s="10"/>
    </row>
    <row r="109" spans="1:4" x14ac:dyDescent="0.3">
      <c r="A109" s="11"/>
      <c r="B109" s="2"/>
      <c r="C109" s="2" t="s">
        <v>70</v>
      </c>
      <c r="D109" s="10"/>
    </row>
    <row r="110" spans="1:4" x14ac:dyDescent="0.3">
      <c r="A110" s="11"/>
      <c r="B110" s="2"/>
      <c r="C110" s="2"/>
      <c r="D110" s="10"/>
    </row>
    <row r="111" spans="1:4" x14ac:dyDescent="0.3">
      <c r="A111" s="11"/>
      <c r="B111" s="2"/>
      <c r="C111" s="2"/>
      <c r="D111" s="10"/>
    </row>
    <row r="112" spans="1:4" x14ac:dyDescent="0.3">
      <c r="A112" s="65">
        <v>3</v>
      </c>
      <c r="B112" s="23" t="s">
        <v>123</v>
      </c>
      <c r="C112" s="2"/>
      <c r="D112" s="10"/>
    </row>
    <row r="113" spans="1:4" x14ac:dyDescent="0.3">
      <c r="A113" s="11"/>
      <c r="B113" s="2"/>
      <c r="C113" s="2" t="s">
        <v>97</v>
      </c>
      <c r="D113" s="10"/>
    </row>
    <row r="114" spans="1:4" x14ac:dyDescent="0.3">
      <c r="A114" s="11"/>
      <c r="B114" s="2"/>
      <c r="C114" s="2" t="s">
        <v>124</v>
      </c>
      <c r="D114" s="10"/>
    </row>
    <row r="115" spans="1:4" x14ac:dyDescent="0.3">
      <c r="A115" s="11"/>
      <c r="B115" s="2"/>
      <c r="C115" s="2" t="s">
        <v>89</v>
      </c>
      <c r="D115" s="10"/>
    </row>
    <row r="116" spans="1:4" x14ac:dyDescent="0.3">
      <c r="A116" s="11"/>
      <c r="B116" s="2"/>
      <c r="C116" s="2" t="s">
        <v>114</v>
      </c>
      <c r="D116" s="10"/>
    </row>
    <row r="117" spans="1:4" x14ac:dyDescent="0.3">
      <c r="A117" s="11"/>
      <c r="B117" s="2"/>
      <c r="C117" s="2" t="s">
        <v>68</v>
      </c>
      <c r="D117" s="10"/>
    </row>
    <row r="118" spans="1:4" x14ac:dyDescent="0.3">
      <c r="A118" s="11"/>
      <c r="B118" s="2"/>
      <c r="C118" s="2" t="s">
        <v>86</v>
      </c>
      <c r="D118" s="10"/>
    </row>
    <row r="119" spans="1:4" x14ac:dyDescent="0.3">
      <c r="A119" s="11"/>
      <c r="B119" s="2"/>
      <c r="C119" s="2" t="s">
        <v>125</v>
      </c>
      <c r="D119" s="10"/>
    </row>
    <row r="120" spans="1:4" x14ac:dyDescent="0.3">
      <c r="A120" s="11"/>
      <c r="B120" s="2"/>
      <c r="C120" s="2" t="s">
        <v>122</v>
      </c>
      <c r="D120" s="10"/>
    </row>
    <row r="121" spans="1:4" x14ac:dyDescent="0.3">
      <c r="A121" s="11"/>
      <c r="B121" s="2"/>
      <c r="C121" s="2" t="s">
        <v>70</v>
      </c>
      <c r="D121" s="10"/>
    </row>
    <row r="122" spans="1:4" x14ac:dyDescent="0.3">
      <c r="A122" s="11"/>
      <c r="B122" s="2"/>
      <c r="C122" s="2"/>
      <c r="D122" s="10"/>
    </row>
    <row r="123" spans="1:4" x14ac:dyDescent="0.3">
      <c r="A123" s="11"/>
      <c r="B123" s="2"/>
      <c r="C123" s="2"/>
      <c r="D123" s="10"/>
    </row>
    <row r="124" spans="1:4" x14ac:dyDescent="0.3">
      <c r="A124" s="65">
        <v>4</v>
      </c>
      <c r="B124" s="23" t="s">
        <v>126</v>
      </c>
      <c r="C124" s="2"/>
      <c r="D124" s="10"/>
    </row>
    <row r="125" spans="1:4" x14ac:dyDescent="0.3">
      <c r="A125" s="11"/>
      <c r="B125" s="2"/>
      <c r="C125" s="2" t="s">
        <v>127</v>
      </c>
      <c r="D125" s="10"/>
    </row>
    <row r="126" spans="1:4" x14ac:dyDescent="0.3">
      <c r="A126" s="11"/>
      <c r="B126" s="2"/>
      <c r="C126" s="2" t="s">
        <v>129</v>
      </c>
      <c r="D126" s="10"/>
    </row>
    <row r="127" spans="1:4" x14ac:dyDescent="0.3">
      <c r="A127" s="11"/>
      <c r="B127" s="2"/>
      <c r="C127" s="2" t="s">
        <v>70</v>
      </c>
      <c r="D127" s="10"/>
    </row>
    <row r="128" spans="1:4" x14ac:dyDescent="0.3">
      <c r="A128" s="11"/>
      <c r="B128" s="2"/>
      <c r="C128" s="2" t="s">
        <v>128</v>
      </c>
      <c r="D128" s="10"/>
    </row>
    <row r="129" spans="1:4" x14ac:dyDescent="0.3">
      <c r="A129" s="11"/>
      <c r="B129" s="2"/>
      <c r="C129" s="2"/>
      <c r="D129" s="10"/>
    </row>
    <row r="130" spans="1:4" x14ac:dyDescent="0.3">
      <c r="A130" s="11"/>
      <c r="B130" s="2"/>
      <c r="C130" s="2"/>
      <c r="D130" s="10"/>
    </row>
    <row r="131" spans="1:4" x14ac:dyDescent="0.3">
      <c r="A131" s="65">
        <v>5</v>
      </c>
      <c r="B131" s="23" t="s">
        <v>130</v>
      </c>
      <c r="C131" s="2"/>
      <c r="D131" s="10"/>
    </row>
    <row r="132" spans="1:4" x14ac:dyDescent="0.3">
      <c r="A132" s="11"/>
      <c r="B132" s="2"/>
      <c r="C132" s="2" t="s">
        <v>68</v>
      </c>
      <c r="D132" s="10"/>
    </row>
    <row r="133" spans="1:4" x14ac:dyDescent="0.3">
      <c r="A133" s="11"/>
      <c r="B133" s="2"/>
      <c r="C133" s="2" t="s">
        <v>129</v>
      </c>
      <c r="D133" s="10"/>
    </row>
    <row r="134" spans="1:4" x14ac:dyDescent="0.3">
      <c r="A134" s="11"/>
      <c r="B134" s="2"/>
      <c r="C134" s="2" t="s">
        <v>70</v>
      </c>
      <c r="D134" s="10"/>
    </row>
    <row r="135" spans="1:4" x14ac:dyDescent="0.3">
      <c r="A135" s="11"/>
      <c r="B135" s="2"/>
      <c r="C135" s="2"/>
      <c r="D135" s="10"/>
    </row>
    <row r="136" spans="1:4" x14ac:dyDescent="0.3">
      <c r="A136" s="65">
        <v>6</v>
      </c>
      <c r="B136" s="23" t="s">
        <v>131</v>
      </c>
      <c r="C136" s="2"/>
      <c r="D136" s="10"/>
    </row>
    <row r="137" spans="1:4" x14ac:dyDescent="0.3">
      <c r="A137" s="11"/>
      <c r="B137" s="2"/>
      <c r="C137" s="2" t="s">
        <v>68</v>
      </c>
      <c r="D137" s="10"/>
    </row>
    <row r="138" spans="1:4" x14ac:dyDescent="0.3">
      <c r="A138" s="11"/>
      <c r="B138" s="2"/>
      <c r="C138" s="2" t="s">
        <v>129</v>
      </c>
      <c r="D138" s="10"/>
    </row>
    <row r="139" spans="1:4" x14ac:dyDescent="0.3">
      <c r="A139" s="11"/>
      <c r="B139" s="2"/>
      <c r="C139" s="2" t="s">
        <v>70</v>
      </c>
      <c r="D139" s="10"/>
    </row>
    <row r="140" spans="1:4" ht="15" thickBot="1" x14ac:dyDescent="0.35">
      <c r="A140" s="13"/>
      <c r="B140" s="14"/>
      <c r="C140" s="14"/>
      <c r="D140" s="69"/>
    </row>
  </sheetData>
  <mergeCells count="2">
    <mergeCell ref="A27:D27"/>
    <mergeCell ref="A28:D28"/>
  </mergeCells>
  <pageMargins left="0.25" right="0.25" top="0.75" bottom="0.75" header="0.3" footer="0.3"/>
  <pageSetup paperSize="9"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6"/>
  <sheetViews>
    <sheetView topLeftCell="A61" workbookViewId="0">
      <selection activeCell="B88" sqref="B88"/>
    </sheetView>
  </sheetViews>
  <sheetFormatPr defaultRowHeight="14.4" x14ac:dyDescent="0.3"/>
  <cols>
    <col min="1" max="1" width="7.109375" bestFit="1" customWidth="1"/>
    <col min="2" max="2" width="32.6640625" bestFit="1" customWidth="1"/>
    <col min="3" max="3" width="9.33203125" customWidth="1"/>
    <col min="4" max="4" width="9.33203125" hidden="1" customWidth="1"/>
    <col min="5" max="5" width="7.33203125" customWidth="1"/>
    <col min="6" max="6" width="12.21875" customWidth="1"/>
    <col min="7" max="7" width="11.33203125" customWidth="1"/>
    <col min="8" max="8" width="12.5546875" customWidth="1"/>
    <col min="9" max="9" width="12" customWidth="1"/>
    <col min="10" max="10" width="12.109375" customWidth="1"/>
    <col min="11" max="11" width="11.33203125" customWidth="1"/>
    <col min="12" max="12" width="11.77734375" customWidth="1"/>
    <col min="13" max="13" width="11.21875" customWidth="1"/>
    <col min="14" max="14" width="11.5546875" customWidth="1"/>
    <col min="15" max="15" width="11" customWidth="1"/>
  </cols>
  <sheetData>
    <row r="1" spans="1:9" ht="27" customHeight="1" x14ac:dyDescent="0.3">
      <c r="A1" s="164" t="s">
        <v>57</v>
      </c>
      <c r="B1" s="164"/>
      <c r="C1" s="164"/>
      <c r="D1" s="164"/>
      <c r="E1" s="164"/>
      <c r="F1" s="164"/>
      <c r="G1" s="164"/>
      <c r="H1" s="164"/>
      <c r="I1" s="164"/>
    </row>
    <row r="2" spans="1:9" ht="15" thickBot="1" x14ac:dyDescent="0.35"/>
    <row r="3" spans="1:9" ht="57.6" customHeight="1" x14ac:dyDescent="0.3">
      <c r="A3" s="165" t="s">
        <v>0</v>
      </c>
      <c r="B3" s="167" t="s">
        <v>20</v>
      </c>
      <c r="C3" s="167" t="s">
        <v>132</v>
      </c>
      <c r="D3" s="119"/>
      <c r="E3" s="171" t="s">
        <v>21</v>
      </c>
      <c r="F3" s="160" t="s">
        <v>152</v>
      </c>
      <c r="G3" s="161"/>
      <c r="H3" s="162" t="s">
        <v>151</v>
      </c>
      <c r="I3" s="163"/>
    </row>
    <row r="4" spans="1:9" ht="25.8" customHeight="1" thickBot="1" x14ac:dyDescent="0.35">
      <c r="A4" s="166"/>
      <c r="B4" s="168"/>
      <c r="C4" s="168"/>
      <c r="D4" s="120"/>
      <c r="E4" s="172"/>
      <c r="F4" s="75" t="s">
        <v>22</v>
      </c>
      <c r="G4" s="76" t="s">
        <v>23</v>
      </c>
      <c r="H4" s="77" t="s">
        <v>22</v>
      </c>
      <c r="I4" s="78" t="s">
        <v>23</v>
      </c>
    </row>
    <row r="5" spans="1:9" ht="15.6" x14ac:dyDescent="0.3">
      <c r="A5" s="32"/>
      <c r="B5" s="63" t="s">
        <v>133</v>
      </c>
      <c r="C5" s="33"/>
      <c r="D5" s="36"/>
      <c r="E5" s="36"/>
      <c r="F5" s="55"/>
      <c r="G5" s="56"/>
      <c r="H5" s="43"/>
      <c r="I5" s="44"/>
    </row>
    <row r="6" spans="1:9" x14ac:dyDescent="0.3">
      <c r="A6" s="32"/>
      <c r="B6" s="33"/>
      <c r="C6" s="33"/>
      <c r="D6" s="36"/>
      <c r="E6" s="36"/>
      <c r="F6" s="55"/>
      <c r="G6" s="56"/>
      <c r="H6" s="43"/>
      <c r="I6" s="44"/>
    </row>
    <row r="7" spans="1:9" x14ac:dyDescent="0.3">
      <c r="A7" s="88">
        <v>1</v>
      </c>
      <c r="B7" s="33" t="s">
        <v>134</v>
      </c>
      <c r="C7" s="79">
        <v>30</v>
      </c>
      <c r="D7" s="128"/>
      <c r="E7" s="36" t="s">
        <v>135</v>
      </c>
      <c r="F7" s="55">
        <v>190</v>
      </c>
      <c r="G7" s="56">
        <f>C7*F7</f>
        <v>5700</v>
      </c>
      <c r="H7" s="43">
        <v>240</v>
      </c>
      <c r="I7" s="44">
        <f>C7*H7</f>
        <v>7200</v>
      </c>
    </row>
    <row r="8" spans="1:9" x14ac:dyDescent="0.3">
      <c r="A8" s="88">
        <v>2</v>
      </c>
      <c r="B8" s="33" t="s">
        <v>136</v>
      </c>
      <c r="C8" s="79">
        <v>2</v>
      </c>
      <c r="D8" s="128"/>
      <c r="E8" s="36" t="s">
        <v>135</v>
      </c>
      <c r="F8" s="55">
        <v>2050</v>
      </c>
      <c r="G8" s="56">
        <f t="shared" ref="G8:G19" si="0">C8*F8</f>
        <v>4100</v>
      </c>
      <c r="H8" s="43">
        <v>4130</v>
      </c>
      <c r="I8" s="44">
        <f>C8*H8</f>
        <v>8260</v>
      </c>
    </row>
    <row r="9" spans="1:9" x14ac:dyDescent="0.3">
      <c r="A9" s="88">
        <v>3</v>
      </c>
      <c r="B9" s="33" t="s">
        <v>137</v>
      </c>
      <c r="C9" s="79">
        <v>2</v>
      </c>
      <c r="D9" s="128"/>
      <c r="E9" s="36" t="s">
        <v>135</v>
      </c>
      <c r="F9" s="55">
        <v>2250</v>
      </c>
      <c r="G9" s="56">
        <f t="shared" si="0"/>
        <v>4500</v>
      </c>
      <c r="H9" s="43">
        <v>4925</v>
      </c>
      <c r="I9" s="44">
        <f t="shared" ref="I9:I19" si="1">C9*H9</f>
        <v>9850</v>
      </c>
    </row>
    <row r="10" spans="1:9" x14ac:dyDescent="0.3">
      <c r="A10" s="88">
        <v>4</v>
      </c>
      <c r="B10" s="33" t="s">
        <v>138</v>
      </c>
      <c r="C10" s="79">
        <v>2</v>
      </c>
      <c r="D10" s="128"/>
      <c r="E10" s="36" t="s">
        <v>135</v>
      </c>
      <c r="F10" s="55">
        <v>2450</v>
      </c>
      <c r="G10" s="56">
        <f t="shared" si="0"/>
        <v>4900</v>
      </c>
      <c r="H10" s="43">
        <v>5716</v>
      </c>
      <c r="I10" s="44">
        <f t="shared" si="1"/>
        <v>11432</v>
      </c>
    </row>
    <row r="11" spans="1:9" x14ac:dyDescent="0.3">
      <c r="A11" s="88">
        <v>5</v>
      </c>
      <c r="B11" s="33" t="s">
        <v>139</v>
      </c>
      <c r="C11" s="79">
        <v>1</v>
      </c>
      <c r="D11" s="128"/>
      <c r="E11" s="36" t="s">
        <v>135</v>
      </c>
      <c r="F11" s="55">
        <v>1850</v>
      </c>
      <c r="G11" s="56">
        <f t="shared" si="0"/>
        <v>1850</v>
      </c>
      <c r="H11" s="43">
        <v>4045</v>
      </c>
      <c r="I11" s="44">
        <f t="shared" si="1"/>
        <v>4045</v>
      </c>
    </row>
    <row r="12" spans="1:9" x14ac:dyDescent="0.3">
      <c r="A12" s="88">
        <v>6</v>
      </c>
      <c r="B12" s="33" t="s">
        <v>140</v>
      </c>
      <c r="C12" s="79">
        <v>1</v>
      </c>
      <c r="D12" s="128"/>
      <c r="E12" s="36" t="s">
        <v>135</v>
      </c>
      <c r="F12" s="55">
        <v>2050</v>
      </c>
      <c r="G12" s="56">
        <f t="shared" si="0"/>
        <v>2050</v>
      </c>
      <c r="H12" s="43">
        <v>4725</v>
      </c>
      <c r="I12" s="44">
        <f t="shared" si="1"/>
        <v>4725</v>
      </c>
    </row>
    <row r="13" spans="1:9" x14ac:dyDescent="0.3">
      <c r="A13" s="88">
        <v>7</v>
      </c>
      <c r="B13" s="33" t="s">
        <v>141</v>
      </c>
      <c r="C13" s="79">
        <v>1</v>
      </c>
      <c r="D13" s="128"/>
      <c r="E13" s="36" t="s">
        <v>135</v>
      </c>
      <c r="F13" s="55">
        <v>2250</v>
      </c>
      <c r="G13" s="56">
        <f t="shared" si="0"/>
        <v>2250</v>
      </c>
      <c r="H13" s="43">
        <v>5404</v>
      </c>
      <c r="I13" s="44">
        <f t="shared" si="1"/>
        <v>5404</v>
      </c>
    </row>
    <row r="14" spans="1:9" x14ac:dyDescent="0.3">
      <c r="A14" s="88">
        <v>8</v>
      </c>
      <c r="B14" s="33" t="s">
        <v>142</v>
      </c>
      <c r="C14" s="79">
        <v>100</v>
      </c>
      <c r="D14" s="128"/>
      <c r="E14" s="36" t="s">
        <v>143</v>
      </c>
      <c r="F14" s="55">
        <v>12</v>
      </c>
      <c r="G14" s="56">
        <f t="shared" si="0"/>
        <v>1200</v>
      </c>
      <c r="H14" s="43">
        <v>15</v>
      </c>
      <c r="I14" s="44">
        <f t="shared" si="1"/>
        <v>1500</v>
      </c>
    </row>
    <row r="15" spans="1:9" x14ac:dyDescent="0.3">
      <c r="A15" s="88">
        <v>9</v>
      </c>
      <c r="B15" s="33" t="s">
        <v>144</v>
      </c>
      <c r="C15" s="79">
        <v>10</v>
      </c>
      <c r="D15" s="128"/>
      <c r="E15" s="36" t="s">
        <v>145</v>
      </c>
      <c r="F15" s="55">
        <v>475</v>
      </c>
      <c r="G15" s="56">
        <f t="shared" si="0"/>
        <v>4750</v>
      </c>
      <c r="H15" s="43">
        <v>600</v>
      </c>
      <c r="I15" s="44">
        <f t="shared" si="1"/>
        <v>6000</v>
      </c>
    </row>
    <row r="16" spans="1:9" x14ac:dyDescent="0.3">
      <c r="A16" s="88">
        <v>10</v>
      </c>
      <c r="B16" s="33" t="s">
        <v>150</v>
      </c>
      <c r="C16" s="79">
        <v>2</v>
      </c>
      <c r="D16" s="128"/>
      <c r="E16" s="36" t="s">
        <v>135</v>
      </c>
      <c r="F16" s="55">
        <v>360</v>
      </c>
      <c r="G16" s="56">
        <f t="shared" si="0"/>
        <v>720</v>
      </c>
      <c r="H16" s="43">
        <v>290</v>
      </c>
      <c r="I16" s="44">
        <f t="shared" si="1"/>
        <v>580</v>
      </c>
    </row>
    <row r="17" spans="1:9" x14ac:dyDescent="0.3">
      <c r="A17" s="88">
        <v>11</v>
      </c>
      <c r="B17" s="33" t="s">
        <v>146</v>
      </c>
      <c r="C17" s="79">
        <v>2</v>
      </c>
      <c r="D17" s="128"/>
      <c r="E17" s="36" t="s">
        <v>147</v>
      </c>
      <c r="F17" s="55">
        <v>490</v>
      </c>
      <c r="G17" s="56">
        <f t="shared" si="0"/>
        <v>980</v>
      </c>
      <c r="H17" s="43">
        <v>1010</v>
      </c>
      <c r="I17" s="44">
        <f t="shared" si="1"/>
        <v>2020</v>
      </c>
    </row>
    <row r="18" spans="1:9" x14ac:dyDescent="0.3">
      <c r="A18" s="88">
        <v>12</v>
      </c>
      <c r="B18" s="33" t="s">
        <v>148</v>
      </c>
      <c r="C18" s="79">
        <v>4</v>
      </c>
      <c r="D18" s="128"/>
      <c r="E18" s="36" t="s">
        <v>147</v>
      </c>
      <c r="F18" s="55">
        <v>450</v>
      </c>
      <c r="G18" s="56">
        <f t="shared" si="0"/>
        <v>1800</v>
      </c>
      <c r="H18" s="43">
        <v>650</v>
      </c>
      <c r="I18" s="44">
        <f t="shared" si="1"/>
        <v>2600</v>
      </c>
    </row>
    <row r="19" spans="1:9" x14ac:dyDescent="0.3">
      <c r="A19" s="88">
        <v>13</v>
      </c>
      <c r="B19" s="33" t="s">
        <v>149</v>
      </c>
      <c r="C19" s="79">
        <v>2</v>
      </c>
      <c r="D19" s="128"/>
      <c r="E19" s="36" t="s">
        <v>147</v>
      </c>
      <c r="F19" s="55">
        <v>400</v>
      </c>
      <c r="G19" s="56">
        <f t="shared" si="0"/>
        <v>800</v>
      </c>
      <c r="H19" s="43">
        <v>400</v>
      </c>
      <c r="I19" s="44">
        <f t="shared" si="1"/>
        <v>800</v>
      </c>
    </row>
    <row r="20" spans="1:9" ht="15" thickBot="1" x14ac:dyDescent="0.35">
      <c r="A20" s="32"/>
      <c r="B20" s="33"/>
      <c r="C20" s="33"/>
      <c r="D20" s="36"/>
      <c r="E20" s="36"/>
      <c r="F20" s="80"/>
      <c r="G20" s="81"/>
      <c r="H20" s="82"/>
      <c r="I20" s="83"/>
    </row>
    <row r="21" spans="1:9" ht="29.4" customHeight="1" thickBot="1" x14ac:dyDescent="0.35">
      <c r="A21" s="32"/>
      <c r="B21" s="33"/>
      <c r="C21" s="33"/>
      <c r="D21" s="36"/>
      <c r="E21" s="36"/>
      <c r="F21" s="84" t="s">
        <v>153</v>
      </c>
      <c r="G21" s="85">
        <f>SUM(G7:G20)</f>
        <v>35600</v>
      </c>
      <c r="H21" s="86" t="s">
        <v>153</v>
      </c>
      <c r="I21" s="87">
        <f>SUM(I7:I20)</f>
        <v>64416</v>
      </c>
    </row>
    <row r="24" spans="1:9" ht="21" x14ac:dyDescent="0.3">
      <c r="A24" s="164" t="s">
        <v>192</v>
      </c>
      <c r="B24" s="164"/>
      <c r="C24" s="164"/>
      <c r="D24" s="164"/>
      <c r="E24" s="164"/>
      <c r="F24" s="164"/>
      <c r="G24" s="164"/>
      <c r="H24" s="164"/>
      <c r="I24" s="164"/>
    </row>
    <row r="25" spans="1:9" ht="15" thickBot="1" x14ac:dyDescent="0.35"/>
    <row r="26" spans="1:9" ht="15.6" x14ac:dyDescent="0.3">
      <c r="A26" s="165" t="s">
        <v>0</v>
      </c>
      <c r="B26" s="167" t="s">
        <v>20</v>
      </c>
      <c r="C26" s="167" t="s">
        <v>132</v>
      </c>
      <c r="D26" s="119"/>
      <c r="E26" s="171" t="s">
        <v>21</v>
      </c>
      <c r="F26" s="160"/>
      <c r="G26" s="161"/>
      <c r="H26" s="162"/>
      <c r="I26" s="163"/>
    </row>
    <row r="27" spans="1:9" ht="16.2" thickBot="1" x14ac:dyDescent="0.35">
      <c r="A27" s="166"/>
      <c r="B27" s="168"/>
      <c r="C27" s="168"/>
      <c r="D27" s="120"/>
      <c r="E27" s="172"/>
      <c r="F27" s="75" t="s">
        <v>22</v>
      </c>
      <c r="G27" s="76" t="s">
        <v>23</v>
      </c>
      <c r="H27" s="77" t="s">
        <v>22</v>
      </c>
      <c r="I27" s="78" t="s">
        <v>23</v>
      </c>
    </row>
    <row r="28" spans="1:9" ht="15.6" x14ac:dyDescent="0.3">
      <c r="A28" s="32"/>
      <c r="B28" s="63" t="s">
        <v>193</v>
      </c>
      <c r="C28" s="33"/>
      <c r="D28" s="36"/>
      <c r="E28" s="36"/>
      <c r="F28" s="55"/>
      <c r="G28" s="56"/>
      <c r="H28" s="43"/>
      <c r="I28" s="44"/>
    </row>
    <row r="29" spans="1:9" x14ac:dyDescent="0.3">
      <c r="A29" s="32"/>
      <c r="B29" s="121" t="s">
        <v>194</v>
      </c>
      <c r="C29" s="33"/>
      <c r="D29" s="36"/>
      <c r="E29" s="36"/>
      <c r="F29" s="55"/>
      <c r="G29" s="56"/>
      <c r="H29" s="43"/>
      <c r="I29" s="44"/>
    </row>
    <row r="30" spans="1:9" x14ac:dyDescent="0.3">
      <c r="A30" s="88">
        <v>1</v>
      </c>
      <c r="B30" s="33" t="s">
        <v>195</v>
      </c>
      <c r="C30" s="79">
        <v>30</v>
      </c>
      <c r="D30" s="128"/>
      <c r="E30" s="36" t="s">
        <v>135</v>
      </c>
      <c r="F30" s="55">
        <v>190</v>
      </c>
      <c r="G30" s="56">
        <f>C30*F30</f>
        <v>5700</v>
      </c>
      <c r="H30" s="43">
        <v>240</v>
      </c>
      <c r="I30" s="44">
        <f>C30*H30</f>
        <v>7200</v>
      </c>
    </row>
    <row r="31" spans="1:9" x14ac:dyDescent="0.3">
      <c r="A31" s="88">
        <v>2</v>
      </c>
      <c r="B31" s="33" t="s">
        <v>196</v>
      </c>
      <c r="C31" s="79">
        <v>2</v>
      </c>
      <c r="D31" s="128"/>
      <c r="E31" s="36" t="s">
        <v>135</v>
      </c>
      <c r="F31" s="55">
        <v>2050</v>
      </c>
      <c r="G31" s="56">
        <f t="shared" ref="G31:G42" si="2">C31*F31</f>
        <v>4100</v>
      </c>
      <c r="H31" s="43">
        <v>4130</v>
      </c>
      <c r="I31" s="44">
        <f>C31*H31</f>
        <v>8260</v>
      </c>
    </row>
    <row r="32" spans="1:9" x14ac:dyDescent="0.3">
      <c r="A32" s="88">
        <v>3</v>
      </c>
      <c r="B32" s="33" t="s">
        <v>197</v>
      </c>
      <c r="C32" s="79">
        <v>2</v>
      </c>
      <c r="D32" s="128"/>
      <c r="E32" s="36" t="s">
        <v>135</v>
      </c>
      <c r="F32" s="55">
        <v>2250</v>
      </c>
      <c r="G32" s="56">
        <f t="shared" si="2"/>
        <v>4500</v>
      </c>
      <c r="H32" s="43">
        <v>4925</v>
      </c>
      <c r="I32" s="44">
        <f t="shared" ref="I32:I42" si="3">C32*H32</f>
        <v>9850</v>
      </c>
    </row>
    <row r="33" spans="1:15" x14ac:dyDescent="0.3">
      <c r="A33" s="88">
        <v>4</v>
      </c>
      <c r="B33" s="33" t="s">
        <v>195</v>
      </c>
      <c r="C33" s="79">
        <v>2</v>
      </c>
      <c r="D33" s="128"/>
      <c r="E33" s="36" t="s">
        <v>135</v>
      </c>
      <c r="F33" s="55">
        <v>2450</v>
      </c>
      <c r="G33" s="56">
        <f t="shared" si="2"/>
        <v>4900</v>
      </c>
      <c r="H33" s="43">
        <v>5716</v>
      </c>
      <c r="I33" s="44">
        <f t="shared" si="3"/>
        <v>11432</v>
      </c>
    </row>
    <row r="34" spans="1:15" x14ac:dyDescent="0.3">
      <c r="A34" s="88">
        <v>5</v>
      </c>
      <c r="B34" s="33"/>
      <c r="C34" s="79">
        <v>1</v>
      </c>
      <c r="D34" s="128"/>
      <c r="E34" s="36" t="s">
        <v>135</v>
      </c>
      <c r="F34" s="55">
        <v>1850</v>
      </c>
      <c r="G34" s="56">
        <f t="shared" si="2"/>
        <v>1850</v>
      </c>
      <c r="H34" s="43">
        <v>4045</v>
      </c>
      <c r="I34" s="44">
        <f t="shared" si="3"/>
        <v>4045</v>
      </c>
    </row>
    <row r="35" spans="1:15" x14ac:dyDescent="0.3">
      <c r="A35" s="88">
        <v>6</v>
      </c>
      <c r="B35" s="33"/>
      <c r="C35" s="79">
        <v>1</v>
      </c>
      <c r="D35" s="128"/>
      <c r="E35" s="36" t="s">
        <v>135</v>
      </c>
      <c r="F35" s="55">
        <v>2050</v>
      </c>
      <c r="G35" s="56">
        <f t="shared" si="2"/>
        <v>2050</v>
      </c>
      <c r="H35" s="43">
        <v>4725</v>
      </c>
      <c r="I35" s="44">
        <f t="shared" si="3"/>
        <v>4725</v>
      </c>
    </row>
    <row r="36" spans="1:15" x14ac:dyDescent="0.3">
      <c r="A36" s="88">
        <v>7</v>
      </c>
      <c r="B36" s="33"/>
      <c r="C36" s="79">
        <v>1</v>
      </c>
      <c r="D36" s="128"/>
      <c r="E36" s="36" t="s">
        <v>135</v>
      </c>
      <c r="F36" s="55">
        <v>2250</v>
      </c>
      <c r="G36" s="56">
        <f t="shared" si="2"/>
        <v>2250</v>
      </c>
      <c r="H36" s="43">
        <v>5404</v>
      </c>
      <c r="I36" s="44">
        <f t="shared" si="3"/>
        <v>5404</v>
      </c>
    </row>
    <row r="37" spans="1:15" x14ac:dyDescent="0.3">
      <c r="A37" s="88">
        <v>8</v>
      </c>
      <c r="B37" s="33"/>
      <c r="C37" s="79">
        <v>100</v>
      </c>
      <c r="D37" s="128"/>
      <c r="E37" s="36" t="s">
        <v>143</v>
      </c>
      <c r="F37" s="55">
        <v>12</v>
      </c>
      <c r="G37" s="56">
        <f t="shared" si="2"/>
        <v>1200</v>
      </c>
      <c r="H37" s="43">
        <v>15</v>
      </c>
      <c r="I37" s="44">
        <f t="shared" si="3"/>
        <v>1500</v>
      </c>
    </row>
    <row r="38" spans="1:15" x14ac:dyDescent="0.3">
      <c r="A38" s="88">
        <v>9</v>
      </c>
      <c r="B38" s="33"/>
      <c r="C38" s="79">
        <v>10</v>
      </c>
      <c r="D38" s="128"/>
      <c r="E38" s="36" t="s">
        <v>145</v>
      </c>
      <c r="F38" s="55">
        <v>475</v>
      </c>
      <c r="G38" s="56">
        <f t="shared" si="2"/>
        <v>4750</v>
      </c>
      <c r="H38" s="43">
        <v>600</v>
      </c>
      <c r="I38" s="44">
        <f t="shared" si="3"/>
        <v>6000</v>
      </c>
    </row>
    <row r="39" spans="1:15" x14ac:dyDescent="0.3">
      <c r="A39" s="88">
        <v>10</v>
      </c>
      <c r="B39" s="33"/>
      <c r="C39" s="79">
        <v>2</v>
      </c>
      <c r="D39" s="128"/>
      <c r="E39" s="36" t="s">
        <v>135</v>
      </c>
      <c r="F39" s="55">
        <v>360</v>
      </c>
      <c r="G39" s="56">
        <f t="shared" si="2"/>
        <v>720</v>
      </c>
      <c r="H39" s="43">
        <v>290</v>
      </c>
      <c r="I39" s="44">
        <f t="shared" si="3"/>
        <v>580</v>
      </c>
    </row>
    <row r="40" spans="1:15" x14ac:dyDescent="0.3">
      <c r="A40" s="88">
        <v>11</v>
      </c>
      <c r="B40" s="33"/>
      <c r="C40" s="79">
        <v>2</v>
      </c>
      <c r="D40" s="128"/>
      <c r="E40" s="36" t="s">
        <v>147</v>
      </c>
      <c r="F40" s="55">
        <v>490</v>
      </c>
      <c r="G40" s="56">
        <f t="shared" si="2"/>
        <v>980</v>
      </c>
      <c r="H40" s="43">
        <v>1010</v>
      </c>
      <c r="I40" s="44">
        <f t="shared" si="3"/>
        <v>2020</v>
      </c>
    </row>
    <row r="41" spans="1:15" x14ac:dyDescent="0.3">
      <c r="A41" s="88">
        <v>12</v>
      </c>
      <c r="B41" s="33"/>
      <c r="C41" s="79">
        <v>4</v>
      </c>
      <c r="D41" s="128"/>
      <c r="E41" s="36" t="s">
        <v>147</v>
      </c>
      <c r="F41" s="55">
        <v>450</v>
      </c>
      <c r="G41" s="56">
        <f t="shared" si="2"/>
        <v>1800</v>
      </c>
      <c r="H41" s="43">
        <v>650</v>
      </c>
      <c r="I41" s="44">
        <f t="shared" si="3"/>
        <v>2600</v>
      </c>
    </row>
    <row r="42" spans="1:15" x14ac:dyDescent="0.3">
      <c r="A42" s="88">
        <v>13</v>
      </c>
      <c r="B42" s="33"/>
      <c r="C42" s="79">
        <v>2</v>
      </c>
      <c r="D42" s="128"/>
      <c r="E42" s="36" t="s">
        <v>147</v>
      </c>
      <c r="F42" s="55">
        <v>400</v>
      </c>
      <c r="G42" s="56">
        <f t="shared" si="2"/>
        <v>800</v>
      </c>
      <c r="H42" s="43">
        <v>400</v>
      </c>
      <c r="I42" s="44">
        <f t="shared" si="3"/>
        <v>800</v>
      </c>
    </row>
    <row r="43" spans="1:15" ht="15" thickBot="1" x14ac:dyDescent="0.35">
      <c r="A43" s="32"/>
      <c r="B43" s="33"/>
      <c r="C43" s="33"/>
      <c r="D43" s="36"/>
      <c r="E43" s="36"/>
      <c r="F43" s="80"/>
      <c r="G43" s="81"/>
      <c r="H43" s="82"/>
      <c r="I43" s="83"/>
    </row>
    <row r="44" spans="1:15" ht="16.2" thickBot="1" x14ac:dyDescent="0.35">
      <c r="A44" s="32"/>
      <c r="B44" s="33"/>
      <c r="C44" s="33"/>
      <c r="D44" s="36"/>
      <c r="E44" s="36"/>
      <c r="F44" s="84" t="s">
        <v>153</v>
      </c>
      <c r="G44" s="85">
        <f>SUM(G30:G43)</f>
        <v>35600</v>
      </c>
      <c r="H44" s="86" t="s">
        <v>153</v>
      </c>
      <c r="I44" s="87">
        <f>SUM(I30:I43)</f>
        <v>64416</v>
      </c>
    </row>
    <row r="48" spans="1:15" ht="21" x14ac:dyDescent="0.3">
      <c r="A48" s="164" t="s">
        <v>198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</row>
    <row r="49" spans="1:15" ht="15" thickBot="1" x14ac:dyDescent="0.35"/>
    <row r="50" spans="1:15" ht="54.6" customHeight="1" x14ac:dyDescent="0.3">
      <c r="A50" s="165" t="s">
        <v>0</v>
      </c>
      <c r="B50" s="167" t="s">
        <v>20</v>
      </c>
      <c r="C50" s="167" t="s">
        <v>132</v>
      </c>
      <c r="D50" s="119"/>
      <c r="E50" s="171" t="s">
        <v>21</v>
      </c>
      <c r="F50" s="160" t="s">
        <v>203</v>
      </c>
      <c r="G50" s="161"/>
      <c r="H50" s="162" t="s">
        <v>202</v>
      </c>
      <c r="I50" s="163"/>
      <c r="J50" s="162" t="s">
        <v>204</v>
      </c>
      <c r="K50" s="163"/>
      <c r="L50" s="160" t="s">
        <v>205</v>
      </c>
      <c r="M50" s="161"/>
      <c r="N50" s="162" t="s">
        <v>206</v>
      </c>
      <c r="O50" s="163"/>
    </row>
    <row r="51" spans="1:15" ht="24" customHeight="1" thickBot="1" x14ac:dyDescent="0.35">
      <c r="A51" s="166"/>
      <c r="B51" s="168"/>
      <c r="C51" s="168"/>
      <c r="D51" s="120"/>
      <c r="E51" s="172"/>
      <c r="F51" s="75" t="s">
        <v>22</v>
      </c>
      <c r="G51" s="76" t="s">
        <v>23</v>
      </c>
      <c r="H51" s="77" t="s">
        <v>22</v>
      </c>
      <c r="I51" s="78" t="s">
        <v>23</v>
      </c>
      <c r="J51" s="77" t="s">
        <v>22</v>
      </c>
      <c r="K51" s="78" t="s">
        <v>23</v>
      </c>
      <c r="L51" s="75" t="s">
        <v>22</v>
      </c>
      <c r="M51" s="76" t="s">
        <v>23</v>
      </c>
      <c r="N51" s="77" t="s">
        <v>22</v>
      </c>
      <c r="O51" s="78" t="s">
        <v>23</v>
      </c>
    </row>
    <row r="52" spans="1:15" ht="15" customHeight="1" x14ac:dyDescent="0.3">
      <c r="A52" s="6"/>
      <c r="B52" s="123"/>
      <c r="C52" s="7"/>
      <c r="D52" s="35"/>
      <c r="E52" s="8"/>
      <c r="F52" s="55"/>
      <c r="G52" s="56"/>
      <c r="H52" s="43"/>
      <c r="I52" s="44"/>
      <c r="J52" s="43"/>
      <c r="K52" s="44"/>
      <c r="L52" s="55"/>
      <c r="M52" s="56"/>
      <c r="N52" s="43"/>
      <c r="O52" s="44"/>
    </row>
    <row r="53" spans="1:15" ht="15" customHeight="1" x14ac:dyDescent="0.3">
      <c r="A53" s="88">
        <v>1</v>
      </c>
      <c r="B53" s="33" t="s">
        <v>201</v>
      </c>
      <c r="C53" s="122">
        <v>70</v>
      </c>
      <c r="D53" s="129"/>
      <c r="E53" s="124" t="s">
        <v>200</v>
      </c>
      <c r="F53" s="55">
        <v>550</v>
      </c>
      <c r="G53" s="56">
        <f>C53*F53</f>
        <v>38500</v>
      </c>
      <c r="H53" s="43">
        <v>480</v>
      </c>
      <c r="I53" s="44">
        <f>C53*H53</f>
        <v>33600</v>
      </c>
      <c r="J53" s="43">
        <v>550</v>
      </c>
      <c r="K53" s="44">
        <f>C53*J53</f>
        <v>38500</v>
      </c>
      <c r="L53" s="55">
        <v>510</v>
      </c>
      <c r="M53" s="56">
        <f>C53*L53</f>
        <v>35700</v>
      </c>
      <c r="N53" s="43">
        <v>500</v>
      </c>
      <c r="O53" s="44">
        <f>C53*N53</f>
        <v>35000</v>
      </c>
    </row>
    <row r="54" spans="1:15" ht="15" customHeight="1" x14ac:dyDescent="0.3">
      <c r="A54" s="88">
        <v>2</v>
      </c>
      <c r="B54" s="33" t="s">
        <v>199</v>
      </c>
      <c r="C54" s="122">
        <v>7</v>
      </c>
      <c r="D54" s="129"/>
      <c r="E54" s="124" t="s">
        <v>200</v>
      </c>
      <c r="F54" s="55">
        <v>1975</v>
      </c>
      <c r="G54" s="56">
        <f t="shared" ref="G54" si="4">C54*F54</f>
        <v>13825</v>
      </c>
      <c r="H54" s="43">
        <v>1450</v>
      </c>
      <c r="I54" s="44">
        <f t="shared" ref="I54" si="5">C54*H54</f>
        <v>10150</v>
      </c>
      <c r="J54" s="43">
        <v>1750</v>
      </c>
      <c r="K54" s="44">
        <f>C54*J54</f>
        <v>12250</v>
      </c>
      <c r="L54" s="55">
        <v>1500</v>
      </c>
      <c r="M54" s="56">
        <f>C54*L54</f>
        <v>10500</v>
      </c>
      <c r="N54" s="43">
        <v>1450</v>
      </c>
      <c r="O54" s="44">
        <f>C54*N54</f>
        <v>10150</v>
      </c>
    </row>
    <row r="55" spans="1:15" x14ac:dyDescent="0.3">
      <c r="A55" s="88"/>
      <c r="B55" s="33"/>
      <c r="C55" s="79"/>
      <c r="D55" s="128"/>
      <c r="E55" s="124"/>
      <c r="F55" s="55"/>
      <c r="G55" s="56"/>
      <c r="H55" s="43"/>
      <c r="I55" s="44"/>
      <c r="J55" s="43"/>
      <c r="K55" s="44"/>
      <c r="L55" s="55"/>
      <c r="M55" s="56"/>
      <c r="N55" s="43"/>
      <c r="O55" s="44"/>
    </row>
    <row r="56" spans="1:15" x14ac:dyDescent="0.3">
      <c r="A56" s="88"/>
      <c r="B56" s="33"/>
      <c r="C56" s="79"/>
      <c r="D56" s="128"/>
      <c r="E56" s="124"/>
      <c r="F56" s="55"/>
      <c r="G56" s="56"/>
      <c r="H56" s="43"/>
      <c r="I56" s="44"/>
      <c r="J56" s="43"/>
      <c r="K56" s="44"/>
      <c r="L56" s="55"/>
      <c r="M56" s="56"/>
      <c r="N56" s="43"/>
      <c r="O56" s="44"/>
    </row>
    <row r="57" spans="1:15" x14ac:dyDescent="0.3">
      <c r="A57" s="88"/>
      <c r="B57" s="33"/>
      <c r="C57" s="79"/>
      <c r="D57" s="128"/>
      <c r="E57" s="124"/>
      <c r="F57" s="55"/>
      <c r="G57" s="56"/>
      <c r="H57" s="43"/>
      <c r="I57" s="44"/>
      <c r="J57" s="43"/>
      <c r="K57" s="44"/>
      <c r="L57" s="55"/>
      <c r="M57" s="56"/>
      <c r="N57" s="43"/>
      <c r="O57" s="44"/>
    </row>
    <row r="58" spans="1:15" ht="15" thickBot="1" x14ac:dyDescent="0.35">
      <c r="A58" s="32"/>
      <c r="B58" s="33"/>
      <c r="C58" s="33"/>
      <c r="D58" s="36"/>
      <c r="E58" s="124"/>
      <c r="F58" s="80"/>
      <c r="G58" s="81"/>
      <c r="H58" s="82"/>
      <c r="I58" s="83"/>
      <c r="J58" s="82"/>
      <c r="K58" s="83"/>
      <c r="L58" s="80"/>
      <c r="M58" s="81"/>
      <c r="N58" s="82"/>
      <c r="O58" s="83"/>
    </row>
    <row r="59" spans="1:15" ht="16.2" thickBot="1" x14ac:dyDescent="0.35">
      <c r="A59" s="125"/>
      <c r="B59" s="126"/>
      <c r="C59" s="126"/>
      <c r="D59" s="130"/>
      <c r="E59" s="127"/>
      <c r="F59" s="84" t="s">
        <v>207</v>
      </c>
      <c r="G59" s="85">
        <f>SUM(G53:G58)</f>
        <v>52325</v>
      </c>
      <c r="H59" s="86" t="s">
        <v>207</v>
      </c>
      <c r="I59" s="87">
        <f>SUM(I53:I58)</f>
        <v>43750</v>
      </c>
      <c r="J59" s="86" t="s">
        <v>207</v>
      </c>
      <c r="K59" s="87">
        <f>SUM(K53:K58)</f>
        <v>50750</v>
      </c>
      <c r="L59" s="84" t="s">
        <v>207</v>
      </c>
      <c r="M59" s="85">
        <f>SUM(M53:M58)</f>
        <v>46200</v>
      </c>
      <c r="N59" s="86" t="s">
        <v>207</v>
      </c>
      <c r="O59" s="87">
        <f>SUM(O53:O58)</f>
        <v>45150</v>
      </c>
    </row>
    <row r="61" spans="1:15" ht="15.6" x14ac:dyDescent="0.3">
      <c r="B61" s="64" t="s">
        <v>209</v>
      </c>
    </row>
    <row r="62" spans="1:15" ht="15.6" x14ac:dyDescent="0.3">
      <c r="B62" s="64" t="s">
        <v>208</v>
      </c>
    </row>
    <row r="65" spans="1:15" ht="21" x14ac:dyDescent="0.3">
      <c r="A65" s="164" t="s">
        <v>210</v>
      </c>
      <c r="B65" s="164"/>
      <c r="C65" s="164"/>
      <c r="D65" s="164"/>
      <c r="E65" s="164"/>
      <c r="F65" s="164"/>
      <c r="G65" s="164"/>
      <c r="H65" s="164"/>
      <c r="I65" s="164"/>
      <c r="J65" s="164"/>
      <c r="K65" s="164"/>
    </row>
    <row r="66" spans="1:15" ht="15" thickBot="1" x14ac:dyDescent="0.35"/>
    <row r="67" spans="1:15" ht="15.6" customHeight="1" x14ac:dyDescent="0.3">
      <c r="A67" s="165" t="s">
        <v>0</v>
      </c>
      <c r="B67" s="167" t="s">
        <v>20</v>
      </c>
      <c r="C67" s="167" t="s">
        <v>132</v>
      </c>
      <c r="D67" s="169" t="s">
        <v>213</v>
      </c>
      <c r="E67" s="171" t="s">
        <v>21</v>
      </c>
      <c r="F67" s="160" t="s">
        <v>212</v>
      </c>
      <c r="G67" s="161"/>
      <c r="H67" s="162" t="s">
        <v>216</v>
      </c>
      <c r="I67" s="163"/>
      <c r="J67" s="160" t="s">
        <v>218</v>
      </c>
      <c r="K67" s="161"/>
      <c r="L67" s="160"/>
      <c r="M67" s="161"/>
      <c r="N67" s="162"/>
      <c r="O67" s="163"/>
    </row>
    <row r="68" spans="1:15" ht="16.2" thickBot="1" x14ac:dyDescent="0.35">
      <c r="A68" s="166"/>
      <c r="B68" s="168"/>
      <c r="C68" s="168"/>
      <c r="D68" s="170"/>
      <c r="E68" s="172"/>
      <c r="F68" s="75" t="s">
        <v>22</v>
      </c>
      <c r="G68" s="76" t="s">
        <v>23</v>
      </c>
      <c r="H68" s="77" t="s">
        <v>22</v>
      </c>
      <c r="I68" s="78" t="s">
        <v>23</v>
      </c>
      <c r="J68" s="75" t="s">
        <v>22</v>
      </c>
      <c r="K68" s="76" t="s">
        <v>23</v>
      </c>
      <c r="L68" s="75"/>
      <c r="M68" s="76"/>
      <c r="N68" s="77"/>
      <c r="O68" s="78"/>
    </row>
    <row r="69" spans="1:15" ht="15.6" x14ac:dyDescent="0.3">
      <c r="A69" s="6"/>
      <c r="B69" s="123" t="s">
        <v>217</v>
      </c>
      <c r="C69" s="7"/>
      <c r="D69" s="35"/>
      <c r="E69" s="8"/>
      <c r="F69" s="55"/>
      <c r="G69" s="56"/>
      <c r="H69" s="43"/>
      <c r="I69" s="44"/>
      <c r="J69" s="55"/>
      <c r="K69" s="56"/>
      <c r="L69" s="55"/>
      <c r="M69" s="56"/>
      <c r="N69" s="43"/>
      <c r="O69" s="44"/>
    </row>
    <row r="70" spans="1:15" x14ac:dyDescent="0.3">
      <c r="A70" s="88">
        <v>1</v>
      </c>
      <c r="B70" s="33" t="s">
        <v>211</v>
      </c>
      <c r="C70" s="122">
        <v>21</v>
      </c>
      <c r="D70" s="129">
        <v>1155</v>
      </c>
      <c r="E70" s="124" t="s">
        <v>214</v>
      </c>
      <c r="F70" s="55">
        <v>47</v>
      </c>
      <c r="G70" s="56">
        <f>D70*F70</f>
        <v>54285</v>
      </c>
      <c r="H70" s="43">
        <v>50</v>
      </c>
      <c r="I70" s="44">
        <f>D70*H70</f>
        <v>57750</v>
      </c>
      <c r="J70" s="55">
        <v>47</v>
      </c>
      <c r="K70" s="56">
        <f>D70*J70</f>
        <v>54285</v>
      </c>
      <c r="L70" s="55"/>
      <c r="M70" s="56"/>
      <c r="N70" s="43"/>
      <c r="O70" s="44"/>
    </row>
    <row r="71" spans="1:15" x14ac:dyDescent="0.3">
      <c r="A71" s="88">
        <v>2</v>
      </c>
      <c r="B71" s="33" t="s">
        <v>219</v>
      </c>
      <c r="C71" s="122">
        <v>54</v>
      </c>
      <c r="D71" s="129">
        <v>205</v>
      </c>
      <c r="E71" s="124" t="s">
        <v>214</v>
      </c>
      <c r="F71" s="55">
        <v>70</v>
      </c>
      <c r="G71" s="56">
        <f>D71*F71</f>
        <v>14350</v>
      </c>
      <c r="H71" s="131">
        <v>0</v>
      </c>
      <c r="I71" s="132">
        <f t="shared" ref="I71:I72" si="6">D71*H71</f>
        <v>0</v>
      </c>
      <c r="J71" s="55">
        <v>76.39</v>
      </c>
      <c r="K71" s="56">
        <f t="shared" ref="K71:K72" si="7">D71*J71</f>
        <v>15659.95</v>
      </c>
      <c r="L71" s="55"/>
      <c r="M71" s="56"/>
      <c r="N71" s="43"/>
      <c r="O71" s="44"/>
    </row>
    <row r="72" spans="1:15" x14ac:dyDescent="0.3">
      <c r="A72" s="88">
        <v>3</v>
      </c>
      <c r="B72" s="33" t="s">
        <v>220</v>
      </c>
      <c r="C72" s="122">
        <v>6</v>
      </c>
      <c r="D72" s="129">
        <v>105</v>
      </c>
      <c r="E72" s="124" t="s">
        <v>214</v>
      </c>
      <c r="F72" s="55">
        <v>49.1</v>
      </c>
      <c r="G72" s="56">
        <f>D72*F72</f>
        <v>5155.5</v>
      </c>
      <c r="H72" s="43">
        <v>51</v>
      </c>
      <c r="I72" s="44">
        <f t="shared" si="6"/>
        <v>5355</v>
      </c>
      <c r="J72" s="55">
        <v>49.5</v>
      </c>
      <c r="K72" s="56">
        <f t="shared" si="7"/>
        <v>5197.5</v>
      </c>
      <c r="L72" s="55"/>
      <c r="M72" s="56"/>
      <c r="N72" s="43"/>
      <c r="O72" s="44"/>
    </row>
    <row r="73" spans="1:15" x14ac:dyDescent="0.3">
      <c r="A73" s="88"/>
      <c r="B73" s="33"/>
      <c r="C73" s="122"/>
      <c r="D73" s="128"/>
      <c r="E73" s="124"/>
      <c r="F73" s="55"/>
      <c r="G73" s="56"/>
      <c r="H73" s="43"/>
      <c r="I73" s="44"/>
      <c r="J73" s="55"/>
      <c r="K73" s="56"/>
      <c r="L73" s="55"/>
      <c r="M73" s="56"/>
      <c r="N73" s="43"/>
      <c r="O73" s="44"/>
    </row>
    <row r="74" spans="1:15" x14ac:dyDescent="0.3">
      <c r="A74" s="88"/>
      <c r="B74" s="33"/>
      <c r="C74" s="79"/>
      <c r="D74" s="128"/>
      <c r="E74" s="124"/>
      <c r="F74" s="55"/>
      <c r="G74" s="56"/>
      <c r="H74" s="43"/>
      <c r="I74" s="44"/>
      <c r="J74" s="55"/>
      <c r="K74" s="56"/>
      <c r="L74" s="55"/>
      <c r="M74" s="56"/>
      <c r="N74" s="43"/>
      <c r="O74" s="44"/>
    </row>
    <row r="75" spans="1:15" ht="15" thickBot="1" x14ac:dyDescent="0.35">
      <c r="A75" s="32"/>
      <c r="B75" s="33"/>
      <c r="C75" s="33"/>
      <c r="D75" s="36"/>
      <c r="E75" s="124"/>
      <c r="F75" s="80"/>
      <c r="G75" s="81"/>
      <c r="H75" s="82"/>
      <c r="I75" s="83"/>
      <c r="J75" s="80"/>
      <c r="K75" s="81"/>
      <c r="L75" s="80"/>
      <c r="M75" s="81"/>
      <c r="N75" s="82"/>
      <c r="O75" s="83"/>
    </row>
    <row r="76" spans="1:15" ht="16.2" thickBot="1" x14ac:dyDescent="0.35">
      <c r="A76" s="125"/>
      <c r="B76" s="126"/>
      <c r="C76" s="126"/>
      <c r="D76" s="130"/>
      <c r="E76" s="127"/>
      <c r="F76" s="84" t="s">
        <v>207</v>
      </c>
      <c r="G76" s="85">
        <f>SUM(G70:G75)</f>
        <v>73790.5</v>
      </c>
      <c r="H76" s="86" t="s">
        <v>207</v>
      </c>
      <c r="I76" s="87">
        <f>SUM(I70:I75)</f>
        <v>63105</v>
      </c>
      <c r="J76" s="84" t="s">
        <v>207</v>
      </c>
      <c r="K76" s="85">
        <f>SUM(K70:K75)</f>
        <v>75142.45</v>
      </c>
      <c r="L76" s="84"/>
      <c r="M76" s="85"/>
      <c r="N76" s="86"/>
      <c r="O76" s="87"/>
    </row>
    <row r="78" spans="1:15" ht="15.6" x14ac:dyDescent="0.3">
      <c r="B78" s="64" t="s">
        <v>215</v>
      </c>
    </row>
    <row r="79" spans="1:15" ht="15.6" x14ac:dyDescent="0.3">
      <c r="B79" s="64" t="s">
        <v>208</v>
      </c>
    </row>
    <row r="82" spans="1:18" ht="21" x14ac:dyDescent="0.3">
      <c r="A82" s="164" t="s">
        <v>192</v>
      </c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</row>
    <row r="83" spans="1:18" ht="15" thickBot="1" x14ac:dyDescent="0.35"/>
    <row r="84" spans="1:18" ht="15.6" x14ac:dyDescent="0.3">
      <c r="A84" s="165" t="s">
        <v>0</v>
      </c>
      <c r="B84" s="167" t="s">
        <v>20</v>
      </c>
      <c r="C84" s="167" t="s">
        <v>132</v>
      </c>
      <c r="D84" s="169" t="s">
        <v>213</v>
      </c>
      <c r="E84" s="171" t="s">
        <v>21</v>
      </c>
      <c r="F84" s="160" t="s">
        <v>223</v>
      </c>
      <c r="G84" s="161"/>
      <c r="H84" s="162"/>
      <c r="I84" s="163"/>
      <c r="J84" s="160"/>
      <c r="K84" s="161"/>
      <c r="L84" s="160"/>
      <c r="M84" s="161"/>
      <c r="N84" s="162"/>
      <c r="O84" s="163"/>
    </row>
    <row r="85" spans="1:18" ht="16.2" thickBot="1" x14ac:dyDescent="0.35">
      <c r="A85" s="166"/>
      <c r="B85" s="168"/>
      <c r="C85" s="168"/>
      <c r="D85" s="170"/>
      <c r="E85" s="172"/>
      <c r="F85" s="75" t="s">
        <v>22</v>
      </c>
      <c r="G85" s="76" t="s">
        <v>23</v>
      </c>
      <c r="H85" s="77" t="s">
        <v>22</v>
      </c>
      <c r="I85" s="78" t="s">
        <v>23</v>
      </c>
      <c r="J85" s="75" t="s">
        <v>22</v>
      </c>
      <c r="K85" s="76" t="s">
        <v>23</v>
      </c>
      <c r="L85" s="75"/>
      <c r="M85" s="76"/>
      <c r="N85" s="77"/>
      <c r="O85" s="78"/>
    </row>
    <row r="86" spans="1:18" ht="15.6" x14ac:dyDescent="0.3">
      <c r="A86" s="6"/>
      <c r="B86" s="123" t="s">
        <v>221</v>
      </c>
      <c r="C86" s="7"/>
      <c r="D86" s="35"/>
      <c r="E86" s="8"/>
      <c r="F86" s="55"/>
      <c r="G86" s="56"/>
      <c r="H86" s="43"/>
      <c r="I86" s="44"/>
      <c r="J86" s="55"/>
      <c r="K86" s="56"/>
      <c r="L86" s="55"/>
      <c r="M86" s="56"/>
      <c r="N86" s="43"/>
      <c r="O86" s="44"/>
    </row>
    <row r="87" spans="1:18" x14ac:dyDescent="0.3">
      <c r="A87" s="88">
        <v>1</v>
      </c>
      <c r="B87" s="33" t="s">
        <v>224</v>
      </c>
      <c r="C87" s="122">
        <v>1</v>
      </c>
      <c r="D87" s="129">
        <v>1155</v>
      </c>
      <c r="E87" s="124" t="s">
        <v>225</v>
      </c>
      <c r="F87" s="55">
        <v>150</v>
      </c>
      <c r="G87" s="56">
        <f>C87*F87</f>
        <v>150</v>
      </c>
      <c r="H87" s="43">
        <v>50</v>
      </c>
      <c r="I87" s="44">
        <f>D87*H87</f>
        <v>57750</v>
      </c>
      <c r="J87" s="55">
        <v>47</v>
      </c>
      <c r="K87" s="56">
        <f>D87*J87</f>
        <v>54285</v>
      </c>
      <c r="L87" s="55"/>
      <c r="M87" s="56"/>
      <c r="N87" s="43"/>
      <c r="O87" s="44"/>
    </row>
    <row r="88" spans="1:18" x14ac:dyDescent="0.3">
      <c r="A88" s="88">
        <v>2</v>
      </c>
      <c r="B88" s="33"/>
      <c r="C88" s="122">
        <v>54</v>
      </c>
      <c r="D88" s="129">
        <v>205</v>
      </c>
      <c r="E88" s="124" t="s">
        <v>214</v>
      </c>
      <c r="F88" s="55">
        <v>70</v>
      </c>
      <c r="G88" s="56">
        <f t="shared" ref="G88:G90" si="8">C88*F88</f>
        <v>3780</v>
      </c>
      <c r="H88" s="131">
        <v>0</v>
      </c>
      <c r="I88" s="132">
        <f t="shared" ref="I88:I89" si="9">D88*H88</f>
        <v>0</v>
      </c>
      <c r="J88" s="55">
        <v>76.39</v>
      </c>
      <c r="K88" s="56">
        <f t="shared" ref="K88:K89" si="10">D88*J88</f>
        <v>15659.95</v>
      </c>
      <c r="L88" s="55"/>
      <c r="M88" s="56"/>
      <c r="N88" s="43"/>
      <c r="O88" s="44"/>
    </row>
    <row r="89" spans="1:18" x14ac:dyDescent="0.3">
      <c r="A89" s="88">
        <v>3</v>
      </c>
      <c r="B89" s="33"/>
      <c r="C89" s="122">
        <v>6</v>
      </c>
      <c r="D89" s="129">
        <v>105</v>
      </c>
      <c r="E89" s="124" t="s">
        <v>214</v>
      </c>
      <c r="F89" s="55">
        <v>49.1</v>
      </c>
      <c r="G89" s="56">
        <f t="shared" si="8"/>
        <v>294.60000000000002</v>
      </c>
      <c r="H89" s="43">
        <v>51</v>
      </c>
      <c r="I89" s="44">
        <f t="shared" si="9"/>
        <v>5355</v>
      </c>
      <c r="J89" s="55">
        <v>49.5</v>
      </c>
      <c r="K89" s="56">
        <f t="shared" si="10"/>
        <v>5197.5</v>
      </c>
      <c r="L89" s="55"/>
      <c r="M89" s="56"/>
      <c r="N89" s="43"/>
      <c r="O89" s="44"/>
    </row>
    <row r="90" spans="1:18" x14ac:dyDescent="0.3">
      <c r="A90" s="88"/>
      <c r="B90" s="33"/>
      <c r="C90" s="122"/>
      <c r="D90" s="128"/>
      <c r="E90" s="124"/>
      <c r="F90" s="55"/>
      <c r="G90" s="56">
        <f t="shared" si="8"/>
        <v>0</v>
      </c>
      <c r="H90" s="43"/>
      <c r="I90" s="44"/>
      <c r="J90" s="55"/>
      <c r="K90" s="56"/>
      <c r="L90" s="55"/>
      <c r="M90" s="56"/>
      <c r="N90" s="43"/>
      <c r="O90" s="44"/>
    </row>
    <row r="91" spans="1:18" x14ac:dyDescent="0.3">
      <c r="A91" s="88"/>
      <c r="B91" s="33"/>
      <c r="C91" s="79"/>
      <c r="D91" s="128"/>
      <c r="E91" s="124"/>
      <c r="F91" s="55"/>
      <c r="G91" s="56"/>
      <c r="H91" s="43"/>
      <c r="I91" s="44"/>
      <c r="J91" s="55"/>
      <c r="K91" s="56"/>
      <c r="L91" s="55"/>
      <c r="M91" s="56"/>
      <c r="N91" s="43"/>
      <c r="O91" s="44"/>
    </row>
    <row r="92" spans="1:18" ht="15" thickBot="1" x14ac:dyDescent="0.35">
      <c r="A92" s="32"/>
      <c r="B92" s="33"/>
      <c r="C92" s="33"/>
      <c r="D92" s="36"/>
      <c r="E92" s="124"/>
      <c r="F92" s="80"/>
      <c r="G92" s="81"/>
      <c r="H92" s="82"/>
      <c r="I92" s="83"/>
      <c r="J92" s="80"/>
      <c r="K92" s="81"/>
      <c r="L92" s="80"/>
      <c r="M92" s="81"/>
      <c r="N92" s="82"/>
      <c r="O92" s="83"/>
    </row>
    <row r="93" spans="1:18" ht="16.2" thickBot="1" x14ac:dyDescent="0.35">
      <c r="A93" s="125"/>
      <c r="B93" s="126"/>
      <c r="C93" s="126"/>
      <c r="D93" s="130"/>
      <c r="E93" s="127"/>
      <c r="F93" s="84" t="s">
        <v>207</v>
      </c>
      <c r="G93" s="85">
        <f>SUM(G87:G92)</f>
        <v>4224.6000000000004</v>
      </c>
      <c r="H93" s="86" t="s">
        <v>207</v>
      </c>
      <c r="I93" s="87">
        <f>SUM(I87:I92)</f>
        <v>63105</v>
      </c>
      <c r="J93" s="84" t="s">
        <v>207</v>
      </c>
      <c r="K93" s="85">
        <f>SUM(K87:K92)</f>
        <v>75142.45</v>
      </c>
      <c r="L93" s="84"/>
      <c r="M93" s="85"/>
      <c r="N93" s="86"/>
      <c r="O93" s="87"/>
    </row>
    <row r="95" spans="1:18" ht="15.6" x14ac:dyDescent="0.3">
      <c r="B95" s="64" t="s">
        <v>215</v>
      </c>
      <c r="R95" t="s">
        <v>222</v>
      </c>
    </row>
    <row r="96" spans="1:18" ht="15.6" x14ac:dyDescent="0.3">
      <c r="B96" s="64" t="s">
        <v>208</v>
      </c>
    </row>
  </sheetData>
  <mergeCells count="46">
    <mergeCell ref="A65:K65"/>
    <mergeCell ref="A48:O48"/>
    <mergeCell ref="A67:A68"/>
    <mergeCell ref="B67:B68"/>
    <mergeCell ref="C67:C68"/>
    <mergeCell ref="E67:E68"/>
    <mergeCell ref="F67:G67"/>
    <mergeCell ref="H67:I67"/>
    <mergeCell ref="J67:K67"/>
    <mergeCell ref="L67:M67"/>
    <mergeCell ref="N67:O67"/>
    <mergeCell ref="D67:D68"/>
    <mergeCell ref="J50:K50"/>
    <mergeCell ref="L50:M50"/>
    <mergeCell ref="N50:O50"/>
    <mergeCell ref="A50:A51"/>
    <mergeCell ref="B50:B51"/>
    <mergeCell ref="C50:C51"/>
    <mergeCell ref="E50:E51"/>
    <mergeCell ref="F50:G50"/>
    <mergeCell ref="H50:I50"/>
    <mergeCell ref="A1:I1"/>
    <mergeCell ref="F3:G3"/>
    <mergeCell ref="H3:I3"/>
    <mergeCell ref="A3:A4"/>
    <mergeCell ref="B3:B4"/>
    <mergeCell ref="C3:C4"/>
    <mergeCell ref="E3:E4"/>
    <mergeCell ref="A24:I24"/>
    <mergeCell ref="A26:A27"/>
    <mergeCell ref="B26:B27"/>
    <mergeCell ref="C26:C27"/>
    <mergeCell ref="E26:E27"/>
    <mergeCell ref="F26:G26"/>
    <mergeCell ref="H26:I26"/>
    <mergeCell ref="L84:M84"/>
    <mergeCell ref="N84:O84"/>
    <mergeCell ref="A82:O82"/>
    <mergeCell ref="A84:A85"/>
    <mergeCell ref="B84:B85"/>
    <mergeCell ref="C84:C85"/>
    <mergeCell ref="D84:D85"/>
    <mergeCell ref="E84:E85"/>
    <mergeCell ref="F84:G84"/>
    <mergeCell ref="H84:I84"/>
    <mergeCell ref="J84:K84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048576"/>
    </sheetView>
  </sheetViews>
  <sheetFormatPr defaultRowHeight="14.4" x14ac:dyDescent="0.3"/>
  <cols>
    <col min="1" max="1" width="7.109375" bestFit="1" customWidth="1"/>
    <col min="2" max="2" width="44.44140625" bestFit="1" customWidth="1"/>
    <col min="3" max="3" width="11.6640625" customWidth="1"/>
    <col min="5" max="5" width="11.88671875" customWidth="1"/>
    <col min="6" max="6" width="17.77734375" customWidth="1"/>
  </cols>
  <sheetData>
    <row r="1" spans="1:14" ht="27" customHeight="1" x14ac:dyDescent="0.3">
      <c r="A1" s="173" t="s">
        <v>154</v>
      </c>
      <c r="B1" s="173"/>
      <c r="C1" s="173"/>
      <c r="D1" s="173"/>
      <c r="E1" s="173"/>
      <c r="F1" s="173"/>
    </row>
    <row r="2" spans="1:14" ht="15" thickBot="1" x14ac:dyDescent="0.35"/>
    <row r="3" spans="1:14" ht="44.4" customHeight="1" thickBot="1" x14ac:dyDescent="0.35">
      <c r="A3" s="98" t="s">
        <v>0</v>
      </c>
      <c r="B3" s="99" t="s">
        <v>20</v>
      </c>
      <c r="C3" s="100" t="s">
        <v>162</v>
      </c>
      <c r="D3" s="99" t="s">
        <v>21</v>
      </c>
      <c r="E3" s="99" t="s">
        <v>22</v>
      </c>
      <c r="F3" s="101" t="s">
        <v>23</v>
      </c>
    </row>
    <row r="4" spans="1:14" x14ac:dyDescent="0.3">
      <c r="A4" s="6"/>
      <c r="B4" s="7"/>
      <c r="C4" s="7"/>
      <c r="D4" s="7"/>
      <c r="E4" s="7"/>
      <c r="F4" s="8"/>
    </row>
    <row r="5" spans="1:14" ht="28.8" x14ac:dyDescent="0.3">
      <c r="A5" s="27" t="s">
        <v>24</v>
      </c>
      <c r="B5" s="30" t="s">
        <v>156</v>
      </c>
      <c r="C5" s="2"/>
      <c r="D5" s="2"/>
      <c r="E5" s="2"/>
      <c r="F5" s="10"/>
    </row>
    <row r="6" spans="1:14" x14ac:dyDescent="0.3">
      <c r="A6" s="11"/>
      <c r="B6" s="23" t="s">
        <v>33</v>
      </c>
      <c r="C6" s="2"/>
      <c r="D6" s="2"/>
      <c r="E6" s="2"/>
      <c r="F6" s="10"/>
    </row>
    <row r="7" spans="1:14" ht="72" x14ac:dyDescent="0.3">
      <c r="A7" s="11">
        <v>1</v>
      </c>
      <c r="B7" s="3" t="s">
        <v>163</v>
      </c>
      <c r="C7" s="96">
        <v>263</v>
      </c>
      <c r="D7" s="89" t="s">
        <v>52</v>
      </c>
      <c r="E7" s="91">
        <v>400</v>
      </c>
      <c r="F7" s="92">
        <f>C7*E7</f>
        <v>105200</v>
      </c>
      <c r="H7">
        <v>1</v>
      </c>
      <c r="I7">
        <v>1</v>
      </c>
      <c r="J7">
        <v>2.83</v>
      </c>
      <c r="K7">
        <f>H7*I7*J7</f>
        <v>2.83</v>
      </c>
      <c r="L7">
        <v>1.5</v>
      </c>
    </row>
    <row r="8" spans="1:14" x14ac:dyDescent="0.3">
      <c r="A8" s="11">
        <v>2</v>
      </c>
      <c r="B8" s="2" t="s">
        <v>157</v>
      </c>
      <c r="C8" s="97">
        <v>10</v>
      </c>
      <c r="D8" s="2" t="s">
        <v>159</v>
      </c>
      <c r="E8" s="93">
        <v>300</v>
      </c>
      <c r="F8" s="94">
        <f t="shared" ref="F8:F14" si="0">C8*E8</f>
        <v>3000</v>
      </c>
      <c r="H8">
        <v>1</v>
      </c>
      <c r="I8">
        <v>1.1000000000000001</v>
      </c>
      <c r="J8">
        <v>2.0499999999999998</v>
      </c>
      <c r="K8">
        <f t="shared" ref="K8:K11" si="1">H8*I8*J8</f>
        <v>2.2549999999999999</v>
      </c>
      <c r="L8">
        <v>1.5</v>
      </c>
    </row>
    <row r="9" spans="1:14" x14ac:dyDescent="0.3">
      <c r="A9" s="11">
        <v>3</v>
      </c>
      <c r="B9" s="2" t="s">
        <v>158</v>
      </c>
      <c r="C9" s="97">
        <v>6</v>
      </c>
      <c r="D9" s="2" t="s">
        <v>135</v>
      </c>
      <c r="E9" s="93">
        <v>1500</v>
      </c>
      <c r="F9" s="94">
        <f t="shared" si="0"/>
        <v>9000</v>
      </c>
      <c r="H9">
        <v>3</v>
      </c>
      <c r="I9">
        <v>1</v>
      </c>
      <c r="J9">
        <v>1.4</v>
      </c>
      <c r="K9">
        <f t="shared" si="1"/>
        <v>4.1999999999999993</v>
      </c>
      <c r="L9">
        <v>4</v>
      </c>
      <c r="N9">
        <f>5*10*2</f>
        <v>100</v>
      </c>
    </row>
    <row r="10" spans="1:14" x14ac:dyDescent="0.3">
      <c r="A10" s="11"/>
      <c r="B10" s="2"/>
      <c r="C10" s="97"/>
      <c r="D10" s="2"/>
      <c r="E10" s="93"/>
      <c r="F10" s="94"/>
      <c r="H10">
        <v>1</v>
      </c>
      <c r="I10">
        <v>1.5</v>
      </c>
      <c r="J10">
        <v>2.4</v>
      </c>
      <c r="K10">
        <f t="shared" si="1"/>
        <v>3.5999999999999996</v>
      </c>
      <c r="L10">
        <v>1.5</v>
      </c>
      <c r="N10">
        <f>5*8</f>
        <v>40</v>
      </c>
    </row>
    <row r="11" spans="1:14" x14ac:dyDescent="0.3">
      <c r="A11" s="11"/>
      <c r="B11" s="2"/>
      <c r="C11" s="97"/>
      <c r="D11" s="2"/>
      <c r="E11" s="93"/>
      <c r="F11" s="94"/>
      <c r="H11">
        <v>1</v>
      </c>
      <c r="I11">
        <v>1.2</v>
      </c>
      <c r="J11">
        <v>2.85</v>
      </c>
      <c r="K11">
        <f t="shared" si="1"/>
        <v>3.42</v>
      </c>
      <c r="L11">
        <v>1.5</v>
      </c>
      <c r="N11">
        <f>5*5*3</f>
        <v>75</v>
      </c>
    </row>
    <row r="12" spans="1:14" x14ac:dyDescent="0.3">
      <c r="A12" s="11"/>
      <c r="B12" s="23" t="s">
        <v>32</v>
      </c>
      <c r="C12" s="97"/>
      <c r="D12" s="2"/>
      <c r="E12" s="93"/>
      <c r="F12" s="94"/>
      <c r="K12">
        <f>SUM(K7:K11)</f>
        <v>16.305</v>
      </c>
      <c r="L12">
        <f>SUM(L7:L11)</f>
        <v>10</v>
      </c>
      <c r="N12">
        <f>6*8</f>
        <v>48</v>
      </c>
    </row>
    <row r="13" spans="1:14" x14ac:dyDescent="0.3">
      <c r="A13" s="11">
        <v>1</v>
      </c>
      <c r="B13" s="2" t="s">
        <v>155</v>
      </c>
      <c r="C13" s="97">
        <v>200</v>
      </c>
      <c r="D13" s="2" t="s">
        <v>52</v>
      </c>
      <c r="E13" s="93">
        <v>150</v>
      </c>
      <c r="F13" s="94">
        <f t="shared" si="0"/>
        <v>30000</v>
      </c>
      <c r="K13">
        <f>K12*10.764</f>
        <v>175.50701999999998</v>
      </c>
      <c r="N13">
        <f>SUM(N9:N12)</f>
        <v>263</v>
      </c>
    </row>
    <row r="14" spans="1:14" x14ac:dyDescent="0.3">
      <c r="A14" s="11">
        <v>2</v>
      </c>
      <c r="B14" s="2" t="s">
        <v>160</v>
      </c>
      <c r="C14" s="97">
        <v>200</v>
      </c>
      <c r="D14" s="2" t="s">
        <v>52</v>
      </c>
      <c r="E14" s="93">
        <v>100</v>
      </c>
      <c r="F14" s="94">
        <f t="shared" si="0"/>
        <v>20000</v>
      </c>
    </row>
    <row r="15" spans="1:14" x14ac:dyDescent="0.3">
      <c r="A15" s="11"/>
      <c r="B15" s="2"/>
      <c r="C15" s="2"/>
      <c r="D15" s="2"/>
      <c r="E15" s="2"/>
      <c r="F15" s="10"/>
    </row>
    <row r="16" spans="1:14" ht="15" thickBot="1" x14ac:dyDescent="0.35">
      <c r="A16" s="70"/>
      <c r="B16" s="4"/>
      <c r="C16" s="4"/>
      <c r="D16" s="4"/>
      <c r="E16" s="4"/>
      <c r="F16" s="28"/>
      <c r="K16">
        <f>8*5</f>
        <v>40</v>
      </c>
    </row>
    <row r="17" spans="1:11" ht="25.8" customHeight="1" thickBot="1" x14ac:dyDescent="0.35">
      <c r="A17" s="90"/>
      <c r="B17" s="174" t="s">
        <v>161</v>
      </c>
      <c r="C17" s="175"/>
      <c r="D17" s="175"/>
      <c r="E17" s="176"/>
      <c r="F17" s="95">
        <f>SUM(F7:F16)</f>
        <v>167200</v>
      </c>
      <c r="K17">
        <f>175/40</f>
        <v>4.375</v>
      </c>
    </row>
    <row r="18" spans="1:11" x14ac:dyDescent="0.3">
      <c r="K18">
        <f>40*5</f>
        <v>200</v>
      </c>
    </row>
  </sheetData>
  <mergeCells count="2">
    <mergeCell ref="A1:F1"/>
    <mergeCell ref="B17:E1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49"/>
  <sheetViews>
    <sheetView workbookViewId="0">
      <selection activeCell="J38" sqref="J38"/>
    </sheetView>
  </sheetViews>
  <sheetFormatPr defaultRowHeight="14.4" x14ac:dyDescent="0.3"/>
  <cols>
    <col min="1" max="1" width="6.88671875" customWidth="1"/>
    <col min="2" max="2" width="35.33203125" customWidth="1"/>
    <col min="3" max="3" width="17.33203125" bestFit="1" customWidth="1"/>
    <col min="5" max="5" width="11.88671875" customWidth="1"/>
    <col min="6" max="6" width="17.77734375" customWidth="1"/>
  </cols>
  <sheetData>
    <row r="2" spans="1:6" ht="18" x14ac:dyDescent="0.3">
      <c r="A2" s="157" t="s">
        <v>56</v>
      </c>
      <c r="B2" s="157"/>
      <c r="C2" s="157"/>
      <c r="D2" s="157"/>
      <c r="E2" s="157"/>
      <c r="F2" s="157"/>
    </row>
    <row r="3" spans="1:6" ht="15" thickBot="1" x14ac:dyDescent="0.35"/>
    <row r="4" spans="1:6" ht="21" customHeight="1" thickBot="1" x14ac:dyDescent="0.35">
      <c r="A4" s="105" t="s">
        <v>0</v>
      </c>
      <c r="B4" s="106" t="s">
        <v>20</v>
      </c>
      <c r="C4" s="106" t="s">
        <v>42</v>
      </c>
      <c r="D4" s="106" t="s">
        <v>21</v>
      </c>
      <c r="E4" s="106" t="s">
        <v>22</v>
      </c>
      <c r="F4" s="107" t="s">
        <v>23</v>
      </c>
    </row>
    <row r="5" spans="1:6" x14ac:dyDescent="0.3">
      <c r="A5" s="6"/>
      <c r="B5" s="7"/>
      <c r="C5" s="7"/>
      <c r="D5" s="7"/>
      <c r="E5" s="7"/>
      <c r="F5" s="8"/>
    </row>
    <row r="6" spans="1:6" x14ac:dyDescent="0.3">
      <c r="A6" s="27" t="s">
        <v>24</v>
      </c>
      <c r="B6" s="23" t="s">
        <v>167</v>
      </c>
      <c r="C6" s="2"/>
      <c r="D6" s="2"/>
      <c r="E6" s="2"/>
      <c r="F6" s="10"/>
    </row>
    <row r="7" spans="1:6" x14ac:dyDescent="0.3">
      <c r="A7" s="11"/>
      <c r="B7" s="23" t="s">
        <v>169</v>
      </c>
      <c r="C7" s="2"/>
      <c r="D7" s="2"/>
      <c r="E7" s="2"/>
      <c r="F7" s="10"/>
    </row>
    <row r="8" spans="1:6" x14ac:dyDescent="0.3">
      <c r="A8" s="11">
        <v>1</v>
      </c>
      <c r="B8" s="2" t="s">
        <v>34</v>
      </c>
      <c r="C8" s="2">
        <f>(250*3.5*5)/100</f>
        <v>43.75</v>
      </c>
      <c r="D8" s="96" t="s">
        <v>46</v>
      </c>
      <c r="E8" s="2">
        <v>2400</v>
      </c>
      <c r="F8" s="10">
        <f t="shared" ref="F8:F18" si="0">C8*E8</f>
        <v>105000</v>
      </c>
    </row>
    <row r="9" spans="1:6" ht="28.8" x14ac:dyDescent="0.3">
      <c r="A9" s="110">
        <v>2</v>
      </c>
      <c r="B9" s="3" t="s">
        <v>172</v>
      </c>
      <c r="C9" s="89">
        <v>2</v>
      </c>
      <c r="D9" s="96" t="s">
        <v>165</v>
      </c>
      <c r="E9" s="89">
        <v>4000</v>
      </c>
      <c r="F9" s="111">
        <f t="shared" si="0"/>
        <v>8000</v>
      </c>
    </row>
    <row r="10" spans="1:6" ht="28.8" x14ac:dyDescent="0.3">
      <c r="A10" s="110">
        <v>3</v>
      </c>
      <c r="B10" s="3" t="s">
        <v>173</v>
      </c>
      <c r="C10" s="89">
        <v>15</v>
      </c>
      <c r="D10" s="96" t="s">
        <v>48</v>
      </c>
      <c r="E10" s="89">
        <v>1500</v>
      </c>
      <c r="F10" s="111">
        <f t="shared" si="0"/>
        <v>22500</v>
      </c>
    </row>
    <row r="11" spans="1:6" x14ac:dyDescent="0.3">
      <c r="A11" s="11">
        <v>4</v>
      </c>
      <c r="B11" s="2" t="s">
        <v>174</v>
      </c>
      <c r="C11" s="2">
        <f>(250*6)</f>
        <v>1500</v>
      </c>
      <c r="D11" s="96" t="s">
        <v>52</v>
      </c>
      <c r="E11" s="2">
        <v>10</v>
      </c>
      <c r="F11" s="10">
        <f t="shared" si="0"/>
        <v>15000</v>
      </c>
    </row>
    <row r="12" spans="1:6" x14ac:dyDescent="0.3">
      <c r="A12" s="11">
        <v>5</v>
      </c>
      <c r="B12" s="2" t="s">
        <v>40</v>
      </c>
      <c r="C12" s="2">
        <v>8</v>
      </c>
      <c r="D12" s="96" t="s">
        <v>54</v>
      </c>
      <c r="E12" s="2">
        <v>600</v>
      </c>
      <c r="F12" s="10">
        <f t="shared" si="0"/>
        <v>4800</v>
      </c>
    </row>
    <row r="13" spans="1:6" ht="28.8" x14ac:dyDescent="0.3">
      <c r="A13" s="110">
        <v>6</v>
      </c>
      <c r="B13" s="109" t="s">
        <v>171</v>
      </c>
      <c r="C13" s="89">
        <v>24</v>
      </c>
      <c r="D13" s="96" t="s">
        <v>47</v>
      </c>
      <c r="E13" s="89">
        <v>800</v>
      </c>
      <c r="F13" s="111">
        <f t="shared" si="0"/>
        <v>19200</v>
      </c>
    </row>
    <row r="14" spans="1:6" x14ac:dyDescent="0.3">
      <c r="A14" s="110">
        <v>7</v>
      </c>
      <c r="B14" s="109" t="s">
        <v>179</v>
      </c>
      <c r="C14" s="112">
        <f>C11</f>
        <v>1500</v>
      </c>
      <c r="D14" s="113" t="s">
        <v>52</v>
      </c>
      <c r="E14" s="112">
        <v>20</v>
      </c>
      <c r="F14" s="114">
        <f t="shared" si="0"/>
        <v>30000</v>
      </c>
    </row>
    <row r="15" spans="1:6" x14ac:dyDescent="0.3">
      <c r="A15" s="110">
        <v>8</v>
      </c>
      <c r="B15" s="109" t="s">
        <v>182</v>
      </c>
      <c r="C15" s="112">
        <v>450</v>
      </c>
      <c r="D15" s="113" t="s">
        <v>183</v>
      </c>
      <c r="E15" s="112">
        <v>60</v>
      </c>
      <c r="F15" s="114">
        <f t="shared" si="0"/>
        <v>27000</v>
      </c>
    </row>
    <row r="16" spans="1:6" x14ac:dyDescent="0.3">
      <c r="A16" s="110"/>
      <c r="B16" s="109" t="s">
        <v>184</v>
      </c>
      <c r="C16" s="112">
        <v>7</v>
      </c>
      <c r="D16" s="113" t="s">
        <v>145</v>
      </c>
      <c r="E16" s="112">
        <v>5500</v>
      </c>
      <c r="F16" s="114">
        <f t="shared" si="0"/>
        <v>38500</v>
      </c>
    </row>
    <row r="17" spans="1:6" x14ac:dyDescent="0.3">
      <c r="A17" s="110"/>
      <c r="B17" s="109" t="s">
        <v>185</v>
      </c>
      <c r="C17" s="112">
        <v>60</v>
      </c>
      <c r="D17" s="113" t="s">
        <v>145</v>
      </c>
      <c r="E17" s="112">
        <v>60</v>
      </c>
      <c r="F17" s="114">
        <f t="shared" si="0"/>
        <v>3600</v>
      </c>
    </row>
    <row r="18" spans="1:6" x14ac:dyDescent="0.3">
      <c r="A18" s="110">
        <v>9</v>
      </c>
      <c r="B18" s="109" t="s">
        <v>186</v>
      </c>
      <c r="C18" s="112">
        <v>1</v>
      </c>
      <c r="D18" s="113" t="s">
        <v>165</v>
      </c>
      <c r="E18" s="112">
        <v>4000</v>
      </c>
      <c r="F18" s="114">
        <f t="shared" si="0"/>
        <v>4000</v>
      </c>
    </row>
    <row r="19" spans="1:6" x14ac:dyDescent="0.3">
      <c r="A19" s="11"/>
      <c r="B19" s="2"/>
      <c r="C19" s="4"/>
      <c r="D19" s="4"/>
      <c r="E19" s="4"/>
      <c r="F19" s="28"/>
    </row>
    <row r="20" spans="1:6" ht="28.8" x14ac:dyDescent="0.3">
      <c r="A20" s="27" t="s">
        <v>111</v>
      </c>
      <c r="B20" s="30" t="s">
        <v>170</v>
      </c>
      <c r="C20" s="2"/>
      <c r="D20" s="2"/>
      <c r="E20" s="2"/>
      <c r="F20" s="10"/>
    </row>
    <row r="21" spans="1:6" x14ac:dyDescent="0.3">
      <c r="A21" s="11"/>
      <c r="B21" s="23" t="s">
        <v>169</v>
      </c>
      <c r="C21" s="2"/>
      <c r="D21" s="2"/>
      <c r="E21" s="2"/>
      <c r="F21" s="10"/>
    </row>
    <row r="22" spans="1:6" x14ac:dyDescent="0.3">
      <c r="A22" s="11">
        <v>1</v>
      </c>
      <c r="B22" s="2" t="s">
        <v>34</v>
      </c>
      <c r="C22" s="2">
        <f>(230*3.5*5)/100</f>
        <v>40.25</v>
      </c>
      <c r="D22" s="2" t="s">
        <v>46</v>
      </c>
      <c r="E22" s="2">
        <v>2400</v>
      </c>
      <c r="F22" s="10">
        <f t="shared" ref="F22:F26" si="1">C22*E22</f>
        <v>96600</v>
      </c>
    </row>
    <row r="23" spans="1:6" x14ac:dyDescent="0.3">
      <c r="A23" s="11">
        <v>2</v>
      </c>
      <c r="B23" s="2" t="s">
        <v>164</v>
      </c>
      <c r="C23" s="2">
        <v>4</v>
      </c>
      <c r="D23" s="2" t="s">
        <v>165</v>
      </c>
      <c r="E23" s="2">
        <v>4000</v>
      </c>
      <c r="F23" s="10">
        <f t="shared" si="1"/>
        <v>16000</v>
      </c>
    </row>
    <row r="24" spans="1:6" x14ac:dyDescent="0.3">
      <c r="A24" s="11">
        <v>3</v>
      </c>
      <c r="B24" s="2" t="s">
        <v>181</v>
      </c>
      <c r="C24" s="2">
        <v>15</v>
      </c>
      <c r="D24" s="2" t="s">
        <v>48</v>
      </c>
      <c r="E24" s="2">
        <v>1500</v>
      </c>
      <c r="F24" s="10">
        <f t="shared" si="1"/>
        <v>22500</v>
      </c>
    </row>
    <row r="25" spans="1:6" x14ac:dyDescent="0.3">
      <c r="A25" s="11">
        <v>5</v>
      </c>
      <c r="B25" s="2" t="s">
        <v>40</v>
      </c>
      <c r="C25" s="2">
        <v>6</v>
      </c>
      <c r="D25" s="2" t="s">
        <v>54</v>
      </c>
      <c r="E25" s="2">
        <v>600</v>
      </c>
      <c r="F25" s="10">
        <f t="shared" si="1"/>
        <v>3600</v>
      </c>
    </row>
    <row r="26" spans="1:6" x14ac:dyDescent="0.3">
      <c r="A26" s="11">
        <v>6</v>
      </c>
      <c r="B26" s="2" t="s">
        <v>50</v>
      </c>
      <c r="C26" s="2">
        <v>8</v>
      </c>
      <c r="D26" s="2" t="s">
        <v>47</v>
      </c>
      <c r="E26" s="2">
        <v>900</v>
      </c>
      <c r="F26" s="10">
        <f t="shared" si="1"/>
        <v>7200</v>
      </c>
    </row>
    <row r="27" spans="1:6" ht="15" thickBot="1" x14ac:dyDescent="0.35">
      <c r="A27" s="11"/>
      <c r="B27" s="2"/>
      <c r="C27" s="4"/>
      <c r="D27" s="4"/>
      <c r="E27" s="4"/>
      <c r="F27" s="28"/>
    </row>
    <row r="28" spans="1:6" ht="16.2" thickBot="1" x14ac:dyDescent="0.35">
      <c r="A28" s="11"/>
      <c r="B28" s="108"/>
      <c r="C28" s="145" t="s">
        <v>166</v>
      </c>
      <c r="D28" s="146"/>
      <c r="E28" s="147"/>
      <c r="F28" s="104">
        <f>SUM(F7:F27)</f>
        <v>423500</v>
      </c>
    </row>
    <row r="29" spans="1:6" ht="16.2" thickBot="1" x14ac:dyDescent="0.35">
      <c r="A29" s="11"/>
      <c r="B29" s="108"/>
      <c r="C29" s="148" t="s">
        <v>177</v>
      </c>
      <c r="D29" s="149"/>
      <c r="E29" s="150"/>
      <c r="F29" s="102">
        <f>(C8+C22)*100</f>
        <v>8400</v>
      </c>
    </row>
    <row r="30" spans="1:6" ht="16.2" thickBot="1" x14ac:dyDescent="0.35">
      <c r="A30" s="13"/>
      <c r="B30" s="15"/>
      <c r="C30" s="154" t="s">
        <v>168</v>
      </c>
      <c r="D30" s="155"/>
      <c r="E30" s="156"/>
      <c r="F30" s="103">
        <f>F28/F29</f>
        <v>50.416666666666664</v>
      </c>
    </row>
    <row r="31" spans="1:6" x14ac:dyDescent="0.3">
      <c r="A31" s="115"/>
      <c r="B31" s="116"/>
      <c r="C31" s="116"/>
      <c r="D31" s="116"/>
      <c r="E31" s="116"/>
      <c r="F31" s="117"/>
    </row>
    <row r="32" spans="1:6" x14ac:dyDescent="0.3">
      <c r="A32" s="27" t="s">
        <v>188</v>
      </c>
      <c r="B32" s="23" t="s">
        <v>25</v>
      </c>
      <c r="C32" s="2"/>
      <c r="D32" s="2"/>
      <c r="E32" s="2"/>
      <c r="F32" s="10"/>
    </row>
    <row r="33" spans="1:6" x14ac:dyDescent="0.3">
      <c r="A33" s="11"/>
      <c r="B33" s="23" t="s">
        <v>33</v>
      </c>
      <c r="C33" s="2"/>
      <c r="D33" s="2"/>
      <c r="E33" s="2"/>
      <c r="F33" s="10"/>
    </row>
    <row r="34" spans="1:6" x14ac:dyDescent="0.3">
      <c r="A34" s="11">
        <v>1</v>
      </c>
      <c r="B34" s="2" t="s">
        <v>191</v>
      </c>
      <c r="C34" s="2">
        <v>70</v>
      </c>
      <c r="D34" s="2" t="s">
        <v>187</v>
      </c>
      <c r="E34" s="2">
        <v>650</v>
      </c>
      <c r="F34" s="10">
        <f>C34*E34</f>
        <v>45500</v>
      </c>
    </row>
    <row r="35" spans="1:6" x14ac:dyDescent="0.3">
      <c r="A35" s="11">
        <v>2</v>
      </c>
      <c r="B35" s="2" t="s">
        <v>27</v>
      </c>
      <c r="C35" s="2">
        <v>35</v>
      </c>
      <c r="D35" s="2" t="s">
        <v>45</v>
      </c>
      <c r="E35" s="2">
        <v>310</v>
      </c>
      <c r="F35" s="10">
        <f t="shared" ref="F35:F40" si="2">C35*E35</f>
        <v>10850</v>
      </c>
    </row>
    <row r="36" spans="1:6" x14ac:dyDescent="0.3">
      <c r="A36" s="11">
        <v>3</v>
      </c>
      <c r="B36" s="2" t="s">
        <v>28</v>
      </c>
      <c r="C36" s="2">
        <v>4000</v>
      </c>
      <c r="D36" s="2" t="s">
        <v>43</v>
      </c>
      <c r="E36" s="2">
        <v>12</v>
      </c>
      <c r="F36" s="10">
        <f t="shared" si="2"/>
        <v>48000</v>
      </c>
    </row>
    <row r="37" spans="1:6" x14ac:dyDescent="0.3">
      <c r="A37" s="11">
        <v>4</v>
      </c>
      <c r="B37" s="2" t="s">
        <v>29</v>
      </c>
      <c r="C37" s="2">
        <v>3</v>
      </c>
      <c r="D37" s="2" t="s">
        <v>46</v>
      </c>
      <c r="E37" s="2">
        <v>3100</v>
      </c>
      <c r="F37" s="10">
        <f t="shared" si="2"/>
        <v>9300</v>
      </c>
    </row>
    <row r="38" spans="1:6" x14ac:dyDescent="0.3">
      <c r="A38" s="11">
        <v>5</v>
      </c>
      <c r="B38" s="2" t="s">
        <v>30</v>
      </c>
      <c r="C38" s="2">
        <v>1</v>
      </c>
      <c r="D38" s="2" t="s">
        <v>46</v>
      </c>
      <c r="E38" s="2">
        <v>2900</v>
      </c>
      <c r="F38" s="10">
        <f t="shared" si="2"/>
        <v>2900</v>
      </c>
    </row>
    <row r="39" spans="1:6" x14ac:dyDescent="0.3">
      <c r="A39" s="11">
        <v>6</v>
      </c>
      <c r="B39" s="2" t="s">
        <v>31</v>
      </c>
      <c r="C39" s="2">
        <v>7</v>
      </c>
      <c r="D39" s="2" t="s">
        <v>43</v>
      </c>
      <c r="E39" s="2">
        <v>2200</v>
      </c>
      <c r="F39" s="10">
        <f t="shared" si="2"/>
        <v>15400</v>
      </c>
    </row>
    <row r="40" spans="1:6" ht="28.8" x14ac:dyDescent="0.3">
      <c r="A40" s="110">
        <v>7</v>
      </c>
      <c r="B40" s="3" t="s">
        <v>180</v>
      </c>
      <c r="C40" s="89">
        <v>13</v>
      </c>
      <c r="D40" s="89" t="s">
        <v>51</v>
      </c>
      <c r="E40" s="89">
        <v>3500</v>
      </c>
      <c r="F40" s="111">
        <f t="shared" si="2"/>
        <v>45500</v>
      </c>
    </row>
    <row r="41" spans="1:6" ht="15" thickBot="1" x14ac:dyDescent="0.35">
      <c r="A41" s="11"/>
      <c r="B41" s="2"/>
      <c r="C41" s="66"/>
      <c r="D41" s="66"/>
      <c r="E41" s="66"/>
      <c r="F41" s="118"/>
    </row>
    <row r="42" spans="1:6" ht="16.2" thickBot="1" x14ac:dyDescent="0.35">
      <c r="A42" s="11"/>
      <c r="B42" s="108"/>
      <c r="C42" s="145" t="s">
        <v>175</v>
      </c>
      <c r="D42" s="146"/>
      <c r="E42" s="147"/>
      <c r="F42" s="104">
        <f>SUM(F34:F41)</f>
        <v>177450</v>
      </c>
    </row>
    <row r="43" spans="1:6" ht="16.2" thickBot="1" x14ac:dyDescent="0.35">
      <c r="A43" s="11"/>
      <c r="B43" s="108"/>
      <c r="C43" s="148" t="s">
        <v>177</v>
      </c>
      <c r="D43" s="149"/>
      <c r="E43" s="150"/>
      <c r="F43" s="102">
        <f>F29</f>
        <v>8400</v>
      </c>
    </row>
    <row r="44" spans="1:6" ht="16.2" thickBot="1" x14ac:dyDescent="0.35">
      <c r="A44" s="13"/>
      <c r="B44" s="15"/>
      <c r="C44" s="154" t="s">
        <v>168</v>
      </c>
      <c r="D44" s="155"/>
      <c r="E44" s="156"/>
      <c r="F44" s="103">
        <f>F42/F43</f>
        <v>21.125</v>
      </c>
    </row>
    <row r="45" spans="1:6" ht="15" thickBot="1" x14ac:dyDescent="0.35"/>
    <row r="46" spans="1:6" ht="16.2" thickBot="1" x14ac:dyDescent="0.35">
      <c r="C46" s="145" t="s">
        <v>55</v>
      </c>
      <c r="D46" s="146"/>
      <c r="E46" s="147"/>
      <c r="F46" s="104">
        <f>F28+F42</f>
        <v>600950</v>
      </c>
    </row>
    <row r="47" spans="1:6" ht="16.2" thickBot="1" x14ac:dyDescent="0.35">
      <c r="C47" s="154" t="s">
        <v>168</v>
      </c>
      <c r="D47" s="155"/>
      <c r="E47" s="156"/>
      <c r="F47" s="103">
        <f>F30+F44</f>
        <v>71.541666666666657</v>
      </c>
    </row>
    <row r="48" spans="1:6" x14ac:dyDescent="0.3">
      <c r="C48" s="177" t="s">
        <v>189</v>
      </c>
      <c r="D48" s="177"/>
      <c r="E48" s="177"/>
      <c r="F48" s="177"/>
    </row>
    <row r="49" spans="3:6" x14ac:dyDescent="0.3">
      <c r="C49" s="178" t="s">
        <v>190</v>
      </c>
      <c r="D49" s="178"/>
      <c r="E49" s="178"/>
      <c r="F49" s="178"/>
    </row>
  </sheetData>
  <mergeCells count="11">
    <mergeCell ref="A2:F2"/>
    <mergeCell ref="C46:E46"/>
    <mergeCell ref="C47:E47"/>
    <mergeCell ref="C48:F48"/>
    <mergeCell ref="C49:F49"/>
    <mergeCell ref="C28:E28"/>
    <mergeCell ref="C29:E29"/>
    <mergeCell ref="C30:E30"/>
    <mergeCell ref="C42:E42"/>
    <mergeCell ref="C43:E43"/>
    <mergeCell ref="C44:E44"/>
  </mergeCells>
  <pageMargins left="0.23622047244094491" right="0.23622047244094491" top="0.74803149606299213" bottom="0.74803149606299213" header="0.31496062992125984" footer="0.31496062992125984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"/>
  <sheetViews>
    <sheetView tabSelected="1" topLeftCell="A34" workbookViewId="0">
      <selection activeCell="A34" sqref="A34:H60"/>
    </sheetView>
  </sheetViews>
  <sheetFormatPr defaultRowHeight="14.4" x14ac:dyDescent="0.3"/>
  <cols>
    <col min="1" max="1" width="7.109375" bestFit="1" customWidth="1"/>
    <col min="2" max="2" width="44.44140625" bestFit="1" customWidth="1"/>
    <col min="3" max="4" width="11.6640625" customWidth="1"/>
    <col min="7" max="7" width="11.88671875" customWidth="1"/>
    <col min="8" max="8" width="17.77734375" customWidth="1"/>
  </cols>
  <sheetData>
    <row r="1" spans="1:8" ht="27" customHeight="1" x14ac:dyDescent="0.3">
      <c r="A1" s="173" t="s">
        <v>226</v>
      </c>
      <c r="B1" s="173"/>
      <c r="C1" s="173"/>
      <c r="D1" s="173"/>
      <c r="E1" s="173"/>
      <c r="F1" s="173"/>
      <c r="G1" s="173"/>
      <c r="H1" s="173"/>
    </row>
    <row r="2" spans="1:8" ht="15" thickBot="1" x14ac:dyDescent="0.35"/>
    <row r="3" spans="1:8" ht="44.4" customHeight="1" thickBot="1" x14ac:dyDescent="0.35">
      <c r="A3" s="98" t="s">
        <v>0</v>
      </c>
      <c r="B3" s="99" t="s">
        <v>20</v>
      </c>
      <c r="C3" s="100" t="s">
        <v>231</v>
      </c>
      <c r="D3" s="100" t="s">
        <v>229</v>
      </c>
      <c r="E3" s="99" t="s">
        <v>21</v>
      </c>
      <c r="F3" s="99" t="s">
        <v>230</v>
      </c>
      <c r="G3" s="99" t="s">
        <v>22</v>
      </c>
      <c r="H3" s="101" t="s">
        <v>23</v>
      </c>
    </row>
    <row r="4" spans="1:8" x14ac:dyDescent="0.3">
      <c r="A4" s="6"/>
      <c r="B4" s="7"/>
      <c r="C4" s="7"/>
      <c r="D4" s="7"/>
      <c r="E4" s="7"/>
      <c r="F4" s="7"/>
      <c r="G4" s="7"/>
      <c r="H4" s="8"/>
    </row>
    <row r="5" spans="1:8" x14ac:dyDescent="0.3">
      <c r="A5" s="135" t="s">
        <v>24</v>
      </c>
      <c r="B5" s="136" t="s">
        <v>227</v>
      </c>
      <c r="C5" s="2"/>
      <c r="D5" s="2"/>
      <c r="E5" s="2"/>
      <c r="F5" s="2"/>
      <c r="G5" s="2"/>
      <c r="H5" s="10"/>
    </row>
    <row r="6" spans="1:8" x14ac:dyDescent="0.3">
      <c r="A6" s="11"/>
      <c r="B6" s="23" t="s">
        <v>33</v>
      </c>
      <c r="C6" s="2"/>
      <c r="D6" s="2"/>
      <c r="E6" s="2"/>
      <c r="F6" s="2"/>
      <c r="G6" s="2"/>
      <c r="H6" s="10"/>
    </row>
    <row r="7" spans="1:8" x14ac:dyDescent="0.3">
      <c r="A7" s="11">
        <v>1</v>
      </c>
      <c r="B7" s="3" t="s">
        <v>228</v>
      </c>
      <c r="C7" s="96">
        <v>120</v>
      </c>
      <c r="D7" s="96">
        <v>2.5499999999999998</v>
      </c>
      <c r="E7" s="89" t="s">
        <v>214</v>
      </c>
      <c r="F7" s="89">
        <f>C7*D7</f>
        <v>306</v>
      </c>
      <c r="G7" s="91">
        <v>47</v>
      </c>
      <c r="H7" s="92">
        <f>F7*G7</f>
        <v>14382</v>
      </c>
    </row>
    <row r="8" spans="1:8" x14ac:dyDescent="0.3">
      <c r="A8" s="11">
        <v>2</v>
      </c>
      <c r="B8" s="3" t="s">
        <v>232</v>
      </c>
      <c r="C8" s="96">
        <v>120</v>
      </c>
      <c r="D8" s="97">
        <v>2.15</v>
      </c>
      <c r="E8" s="89" t="s">
        <v>214</v>
      </c>
      <c r="F8" s="89">
        <f t="shared" ref="F8:F10" si="0">C8*D8</f>
        <v>258</v>
      </c>
      <c r="G8" s="91">
        <v>47</v>
      </c>
      <c r="H8" s="92">
        <f t="shared" ref="H8:H10" si="1">F8*G8</f>
        <v>12126</v>
      </c>
    </row>
    <row r="9" spans="1:8" x14ac:dyDescent="0.3">
      <c r="A9" s="11">
        <v>3</v>
      </c>
      <c r="B9" s="3" t="s">
        <v>233</v>
      </c>
      <c r="C9" s="96">
        <v>120</v>
      </c>
      <c r="D9" s="97">
        <v>1.76</v>
      </c>
      <c r="E9" s="89" t="s">
        <v>214</v>
      </c>
      <c r="F9" s="89">
        <f t="shared" si="0"/>
        <v>211.2</v>
      </c>
      <c r="G9" s="91">
        <v>47</v>
      </c>
      <c r="H9" s="92">
        <f t="shared" si="1"/>
        <v>9926.4</v>
      </c>
    </row>
    <row r="10" spans="1:8" x14ac:dyDescent="0.3">
      <c r="A10" s="11">
        <v>4</v>
      </c>
      <c r="B10" s="3" t="s">
        <v>234</v>
      </c>
      <c r="C10" s="96">
        <f>120+48</f>
        <v>168</v>
      </c>
      <c r="D10" s="97">
        <v>1.37</v>
      </c>
      <c r="E10" s="89" t="s">
        <v>214</v>
      </c>
      <c r="F10" s="89">
        <f t="shared" si="0"/>
        <v>230.16000000000003</v>
      </c>
      <c r="G10" s="91">
        <v>47</v>
      </c>
      <c r="H10" s="92">
        <f t="shared" si="1"/>
        <v>10817.52</v>
      </c>
    </row>
    <row r="11" spans="1:8" x14ac:dyDescent="0.3">
      <c r="A11" s="11"/>
      <c r="B11" s="2"/>
      <c r="C11" s="97"/>
      <c r="D11" s="97"/>
      <c r="E11" s="2"/>
      <c r="F11" s="2"/>
      <c r="G11" s="93"/>
      <c r="H11" s="133">
        <f>SUM(H7:H10)</f>
        <v>47251.92</v>
      </c>
    </row>
    <row r="12" spans="1:8" x14ac:dyDescent="0.3">
      <c r="A12" s="11"/>
      <c r="B12" s="23" t="s">
        <v>32</v>
      </c>
      <c r="C12" s="97"/>
      <c r="D12" s="97"/>
      <c r="E12" s="2"/>
      <c r="F12" s="2"/>
      <c r="G12" s="93"/>
      <c r="H12" s="94"/>
    </row>
    <row r="13" spans="1:8" x14ac:dyDescent="0.3">
      <c r="A13" s="11">
        <v>1</v>
      </c>
      <c r="B13" s="2" t="s">
        <v>235</v>
      </c>
      <c r="C13" s="97">
        <v>833</v>
      </c>
      <c r="D13" s="97"/>
      <c r="E13" s="2" t="s">
        <v>52</v>
      </c>
      <c r="F13" s="2">
        <f>C13</f>
        <v>833</v>
      </c>
      <c r="G13" s="93">
        <v>15</v>
      </c>
      <c r="H13" s="92">
        <f t="shared" ref="H13:H14" si="2">F13*G13</f>
        <v>12495</v>
      </c>
    </row>
    <row r="14" spans="1:8" x14ac:dyDescent="0.3">
      <c r="A14" s="11">
        <v>2</v>
      </c>
      <c r="B14" s="2" t="s">
        <v>236</v>
      </c>
      <c r="C14" s="97">
        <v>833</v>
      </c>
      <c r="D14" s="97">
        <v>2.5</v>
      </c>
      <c r="E14" s="2" t="s">
        <v>52</v>
      </c>
      <c r="F14" s="2">
        <f>C14*D14</f>
        <v>2082.5</v>
      </c>
      <c r="G14" s="93">
        <v>28</v>
      </c>
      <c r="H14" s="92">
        <f t="shared" si="2"/>
        <v>58310</v>
      </c>
    </row>
    <row r="15" spans="1:8" x14ac:dyDescent="0.3">
      <c r="A15" s="11"/>
      <c r="B15" s="2"/>
      <c r="C15" s="2"/>
      <c r="D15" s="2"/>
      <c r="E15" s="2"/>
      <c r="F15" s="2"/>
      <c r="G15" s="2"/>
      <c r="H15" s="134">
        <f>SUM(H13:H14)</f>
        <v>70805</v>
      </c>
    </row>
    <row r="16" spans="1:8" ht="15" thickBot="1" x14ac:dyDescent="0.35">
      <c r="A16" s="70"/>
      <c r="B16" s="4"/>
      <c r="C16" s="4"/>
      <c r="D16" s="4"/>
      <c r="E16" s="4"/>
      <c r="F16" s="4"/>
      <c r="G16" s="4"/>
      <c r="H16" s="28"/>
    </row>
    <row r="17" spans="1:11" ht="25.8" customHeight="1" thickBot="1" x14ac:dyDescent="0.35">
      <c r="A17" s="90"/>
      <c r="B17" s="174" t="s">
        <v>237</v>
      </c>
      <c r="C17" s="175"/>
      <c r="D17" s="175"/>
      <c r="E17" s="175"/>
      <c r="F17" s="175"/>
      <c r="G17" s="176"/>
      <c r="H17" s="95">
        <f>H11+H15</f>
        <v>118056.92</v>
      </c>
    </row>
    <row r="18" spans="1:11" x14ac:dyDescent="0.3">
      <c r="A18" s="135" t="s">
        <v>111</v>
      </c>
      <c r="B18" s="136" t="s">
        <v>238</v>
      </c>
      <c r="C18" s="2"/>
      <c r="D18" s="2"/>
      <c r="E18" s="2"/>
      <c r="F18" s="2"/>
      <c r="G18" s="2"/>
      <c r="H18" s="10"/>
    </row>
    <row r="19" spans="1:11" x14ac:dyDescent="0.3">
      <c r="A19" s="137"/>
      <c r="B19" s="138" t="s">
        <v>243</v>
      </c>
      <c r="C19" s="2"/>
      <c r="D19" s="2"/>
      <c r="E19" s="2"/>
      <c r="F19" s="2"/>
      <c r="G19" s="2"/>
      <c r="H19" s="10"/>
    </row>
    <row r="20" spans="1:11" x14ac:dyDescent="0.3">
      <c r="A20" s="11">
        <v>1</v>
      </c>
      <c r="B20" s="3" t="s">
        <v>239</v>
      </c>
      <c r="C20" s="96">
        <v>32</v>
      </c>
      <c r="D20" s="96">
        <v>12</v>
      </c>
      <c r="E20" s="89" t="s">
        <v>225</v>
      </c>
      <c r="F20" s="89">
        <f>C20*D20</f>
        <v>384</v>
      </c>
      <c r="G20" s="91">
        <v>225</v>
      </c>
      <c r="H20" s="92">
        <f>F20*G20</f>
        <v>86400</v>
      </c>
    </row>
    <row r="21" spans="1:11" x14ac:dyDescent="0.3">
      <c r="A21" s="11">
        <v>2</v>
      </c>
      <c r="B21" s="3" t="s">
        <v>240</v>
      </c>
      <c r="C21" s="96">
        <v>32</v>
      </c>
      <c r="D21" s="97">
        <v>12</v>
      </c>
      <c r="E21" s="89" t="s">
        <v>225</v>
      </c>
      <c r="F21" s="89">
        <f t="shared" ref="F21:F23" si="3">C21*D21</f>
        <v>384</v>
      </c>
      <c r="G21" s="91">
        <v>225</v>
      </c>
      <c r="H21" s="92">
        <f t="shared" ref="H21:H27" si="4">F21*G21</f>
        <v>86400</v>
      </c>
    </row>
    <row r="22" spans="1:11" x14ac:dyDescent="0.3">
      <c r="A22" s="11">
        <v>3</v>
      </c>
      <c r="B22" s="3" t="s">
        <v>241</v>
      </c>
      <c r="C22" s="96">
        <v>32</v>
      </c>
      <c r="D22" s="97">
        <v>12</v>
      </c>
      <c r="E22" s="89" t="s">
        <v>225</v>
      </c>
      <c r="F22" s="89">
        <f t="shared" si="3"/>
        <v>384</v>
      </c>
      <c r="G22" s="91">
        <v>225</v>
      </c>
      <c r="H22" s="92">
        <f t="shared" si="4"/>
        <v>86400</v>
      </c>
    </row>
    <row r="23" spans="1:11" x14ac:dyDescent="0.3">
      <c r="A23" s="11">
        <v>4</v>
      </c>
      <c r="B23" s="3" t="s">
        <v>242</v>
      </c>
      <c r="C23" s="96">
        <v>32</v>
      </c>
      <c r="D23" s="97">
        <v>12</v>
      </c>
      <c r="E23" s="89" t="s">
        <v>225</v>
      </c>
      <c r="F23" s="89">
        <f t="shared" si="3"/>
        <v>384</v>
      </c>
      <c r="G23" s="91">
        <v>225</v>
      </c>
      <c r="H23" s="92">
        <f t="shared" si="4"/>
        <v>86400</v>
      </c>
    </row>
    <row r="24" spans="1:11" x14ac:dyDescent="0.3">
      <c r="A24" s="11">
        <v>5</v>
      </c>
      <c r="B24" s="3" t="s">
        <v>244</v>
      </c>
      <c r="C24" s="96">
        <v>5</v>
      </c>
      <c r="D24" s="96">
        <v>2</v>
      </c>
      <c r="E24" s="89" t="s">
        <v>225</v>
      </c>
      <c r="F24" s="89">
        <f>C24*D24</f>
        <v>10</v>
      </c>
      <c r="G24" s="91">
        <v>225</v>
      </c>
      <c r="H24" s="92">
        <f t="shared" si="4"/>
        <v>2250</v>
      </c>
    </row>
    <row r="25" spans="1:11" x14ac:dyDescent="0.3">
      <c r="A25" s="11">
        <v>6</v>
      </c>
      <c r="B25" s="3" t="s">
        <v>245</v>
      </c>
      <c r="C25" s="96">
        <v>5</v>
      </c>
      <c r="D25" s="97">
        <v>2</v>
      </c>
      <c r="E25" s="89" t="s">
        <v>225</v>
      </c>
      <c r="F25" s="89">
        <f t="shared" ref="F25:F27" si="5">C25*D25</f>
        <v>10</v>
      </c>
      <c r="G25" s="91">
        <v>225</v>
      </c>
      <c r="H25" s="92">
        <f t="shared" si="4"/>
        <v>2250</v>
      </c>
    </row>
    <row r="26" spans="1:11" x14ac:dyDescent="0.3">
      <c r="A26" s="11">
        <v>7</v>
      </c>
      <c r="B26" s="3" t="s">
        <v>246</v>
      </c>
      <c r="C26" s="96">
        <v>5</v>
      </c>
      <c r="D26" s="97">
        <v>2</v>
      </c>
      <c r="E26" s="89" t="s">
        <v>225</v>
      </c>
      <c r="F26" s="89">
        <f t="shared" si="5"/>
        <v>10</v>
      </c>
      <c r="G26" s="91">
        <v>225</v>
      </c>
      <c r="H26" s="92">
        <f t="shared" si="4"/>
        <v>2250</v>
      </c>
    </row>
    <row r="27" spans="1:11" x14ac:dyDescent="0.3">
      <c r="A27" s="11">
        <v>8</v>
      </c>
      <c r="B27" s="3" t="s">
        <v>247</v>
      </c>
      <c r="C27" s="96">
        <v>5</v>
      </c>
      <c r="D27" s="97">
        <v>2</v>
      </c>
      <c r="E27" s="89" t="s">
        <v>225</v>
      </c>
      <c r="F27" s="89">
        <f t="shared" si="5"/>
        <v>10</v>
      </c>
      <c r="G27" s="91">
        <v>225</v>
      </c>
      <c r="H27" s="92">
        <f t="shared" si="4"/>
        <v>2250</v>
      </c>
    </row>
    <row r="28" spans="1:11" ht="15" thickBot="1" x14ac:dyDescent="0.35">
      <c r="A28" s="11"/>
      <c r="B28" s="2"/>
      <c r="C28" s="2"/>
      <c r="D28" s="2"/>
      <c r="E28" s="2"/>
      <c r="F28" s="2"/>
      <c r="G28" s="2"/>
      <c r="H28" s="134"/>
    </row>
    <row r="29" spans="1:11" ht="16.2" thickBot="1" x14ac:dyDescent="0.35">
      <c r="A29" s="90"/>
      <c r="B29" s="174" t="s">
        <v>248</v>
      </c>
      <c r="C29" s="175"/>
      <c r="D29" s="175"/>
      <c r="E29" s="175"/>
      <c r="F29" s="175"/>
      <c r="G29" s="176"/>
      <c r="H29" s="95">
        <f>SUM(H20:H28)</f>
        <v>354600</v>
      </c>
      <c r="K29">
        <f>H31/H29*100</f>
        <v>66.707016356457984</v>
      </c>
    </row>
    <row r="30" spans="1:11" x14ac:dyDescent="0.3">
      <c r="K30">
        <f>100-K29</f>
        <v>33.292983643542016</v>
      </c>
    </row>
    <row r="31" spans="1:11" x14ac:dyDescent="0.3">
      <c r="H31" s="139">
        <f>H29-H17</f>
        <v>236543.08000000002</v>
      </c>
    </row>
    <row r="34" spans="1:17" ht="18" x14ac:dyDescent="0.3">
      <c r="A34" s="173" t="s">
        <v>226</v>
      </c>
      <c r="B34" s="173"/>
      <c r="C34" s="173"/>
      <c r="D34" s="173"/>
      <c r="E34" s="173"/>
      <c r="F34" s="173"/>
      <c r="G34" s="173"/>
      <c r="H34" s="173"/>
    </row>
    <row r="35" spans="1:17" ht="15" thickBot="1" x14ac:dyDescent="0.35"/>
    <row r="36" spans="1:17" ht="31.8" thickBot="1" x14ac:dyDescent="0.35">
      <c r="A36" s="98" t="s">
        <v>0</v>
      </c>
      <c r="B36" s="99" t="s">
        <v>20</v>
      </c>
      <c r="C36" s="100" t="s">
        <v>231</v>
      </c>
      <c r="D36" s="100" t="s">
        <v>229</v>
      </c>
      <c r="E36" s="99" t="s">
        <v>21</v>
      </c>
      <c r="F36" s="99" t="s">
        <v>230</v>
      </c>
      <c r="G36" s="99" t="s">
        <v>22</v>
      </c>
      <c r="H36" s="101" t="s">
        <v>23</v>
      </c>
    </row>
    <row r="37" spans="1:17" x14ac:dyDescent="0.3">
      <c r="A37" s="6"/>
      <c r="B37" s="7"/>
      <c r="C37" s="7"/>
      <c r="D37" s="7"/>
      <c r="E37" s="7"/>
      <c r="F37" s="7"/>
      <c r="G37" s="7"/>
      <c r="H37" s="8"/>
      <c r="L37">
        <f>161/42</f>
        <v>3.8333333333333335</v>
      </c>
    </row>
    <row r="38" spans="1:17" x14ac:dyDescent="0.3">
      <c r="A38" s="135" t="s">
        <v>24</v>
      </c>
      <c r="B38" s="136" t="s">
        <v>227</v>
      </c>
      <c r="C38" s="2"/>
      <c r="D38" s="2"/>
      <c r="E38" s="2"/>
      <c r="F38" s="2"/>
      <c r="G38" s="2"/>
      <c r="H38" s="10"/>
    </row>
    <row r="39" spans="1:17" x14ac:dyDescent="0.3">
      <c r="A39" s="11"/>
      <c r="B39" s="23" t="s">
        <v>33</v>
      </c>
      <c r="C39" s="2"/>
      <c r="D39" s="2"/>
      <c r="E39" s="2"/>
      <c r="F39" s="2"/>
      <c r="G39" s="2"/>
      <c r="H39" s="10"/>
    </row>
    <row r="40" spans="1:17" x14ac:dyDescent="0.3">
      <c r="A40" s="11">
        <v>1</v>
      </c>
      <c r="B40" s="3" t="s">
        <v>255</v>
      </c>
      <c r="C40" s="96">
        <v>120</v>
      </c>
      <c r="D40" s="179">
        <f>161/42</f>
        <v>3.8333333333333335</v>
      </c>
      <c r="E40" s="89" t="s">
        <v>214</v>
      </c>
      <c r="F40" s="89">
        <f>C40*D40</f>
        <v>460</v>
      </c>
      <c r="G40" s="91">
        <v>61.5</v>
      </c>
      <c r="H40" s="92">
        <f>F40*G40</f>
        <v>28290</v>
      </c>
    </row>
    <row r="41" spans="1:17" x14ac:dyDescent="0.3">
      <c r="A41" s="11">
        <v>1</v>
      </c>
      <c r="B41" s="3" t="s">
        <v>249</v>
      </c>
      <c r="C41" s="96">
        <v>120</v>
      </c>
      <c r="D41" s="96">
        <f>126/42</f>
        <v>3</v>
      </c>
      <c r="E41" s="89" t="s">
        <v>214</v>
      </c>
      <c r="F41" s="89">
        <f>C41*D41</f>
        <v>360</v>
      </c>
      <c r="G41" s="91">
        <v>62.5</v>
      </c>
      <c r="H41" s="92">
        <f>F41*G41</f>
        <v>22500</v>
      </c>
      <c r="J41">
        <v>100</v>
      </c>
      <c r="K41" s="140">
        <v>125</v>
      </c>
      <c r="L41">
        <v>100</v>
      </c>
      <c r="M41" s="140">
        <v>100</v>
      </c>
      <c r="N41">
        <v>100</v>
      </c>
      <c r="O41" s="140">
        <v>75</v>
      </c>
      <c r="P41">
        <v>100</v>
      </c>
      <c r="Q41" s="140">
        <v>50</v>
      </c>
    </row>
    <row r="42" spans="1:17" x14ac:dyDescent="0.3">
      <c r="A42" s="11">
        <v>2</v>
      </c>
      <c r="B42" s="3" t="s">
        <v>250</v>
      </c>
      <c r="C42" s="96">
        <v>120</v>
      </c>
      <c r="D42" s="97">
        <f>84/42</f>
        <v>2</v>
      </c>
      <c r="E42" s="89" t="s">
        <v>214</v>
      </c>
      <c r="F42" s="89">
        <f t="shared" ref="F42:F43" si="6">C42*D42</f>
        <v>240</v>
      </c>
      <c r="G42" s="91">
        <v>59.5</v>
      </c>
      <c r="H42" s="92">
        <f t="shared" ref="H42:H44" si="7">F42*G42</f>
        <v>14280</v>
      </c>
    </row>
    <row r="43" spans="1:17" x14ac:dyDescent="0.3">
      <c r="A43" s="11">
        <v>3</v>
      </c>
      <c r="B43" s="3" t="s">
        <v>251</v>
      </c>
      <c r="C43" s="96">
        <v>120</v>
      </c>
      <c r="D43" s="97">
        <f>63/42</f>
        <v>1.5</v>
      </c>
      <c r="E43" s="89" t="s">
        <v>214</v>
      </c>
      <c r="F43" s="89">
        <f t="shared" si="6"/>
        <v>180</v>
      </c>
      <c r="G43" s="91">
        <v>59.5</v>
      </c>
      <c r="H43" s="92">
        <f t="shared" si="7"/>
        <v>10710</v>
      </c>
      <c r="L43">
        <f>21.05</f>
        <v>21.05</v>
      </c>
      <c r="M43">
        <f>(J41+K41+L41+M41+N41+O41+P41+Q41)/1000</f>
        <v>0.75</v>
      </c>
      <c r="N43">
        <f>L43/M43</f>
        <v>28.066666666666666</v>
      </c>
    </row>
    <row r="44" spans="1:17" x14ac:dyDescent="0.3">
      <c r="A44" s="11"/>
      <c r="B44" s="142" t="s">
        <v>257</v>
      </c>
      <c r="C44" s="96"/>
      <c r="D44" s="97"/>
      <c r="E44" s="89"/>
      <c r="F44" s="89"/>
      <c r="G44" s="91"/>
      <c r="H44" s="92">
        <f t="shared" si="7"/>
        <v>0</v>
      </c>
    </row>
    <row r="45" spans="1:17" x14ac:dyDescent="0.3">
      <c r="A45" s="11"/>
      <c r="B45" s="2" t="s">
        <v>258</v>
      </c>
      <c r="C45" s="97"/>
      <c r="D45" s="97"/>
      <c r="E45" s="2"/>
      <c r="F45" s="2"/>
      <c r="G45" s="93"/>
      <c r="H45" s="133">
        <f>SUM(H40:H44)</f>
        <v>75780</v>
      </c>
      <c r="K45">
        <v>125</v>
      </c>
      <c r="L45">
        <f>20*6</f>
        <v>120</v>
      </c>
    </row>
    <row r="46" spans="1:17" x14ac:dyDescent="0.3">
      <c r="A46" s="11"/>
      <c r="B46" s="23" t="s">
        <v>32</v>
      </c>
      <c r="C46" s="97"/>
      <c r="D46" s="97"/>
      <c r="E46" s="2"/>
      <c r="F46" s="2"/>
      <c r="G46" s="93"/>
      <c r="H46" s="94"/>
      <c r="K46">
        <v>100</v>
      </c>
      <c r="L46">
        <f t="shared" ref="L46:L48" si="8">20*6</f>
        <v>120</v>
      </c>
      <c r="N46">
        <f>L46*M46</f>
        <v>0</v>
      </c>
    </row>
    <row r="47" spans="1:17" x14ac:dyDescent="0.3">
      <c r="A47" s="11">
        <v>1</v>
      </c>
      <c r="B47" s="2" t="s">
        <v>235</v>
      </c>
      <c r="C47" s="97">
        <v>833</v>
      </c>
      <c r="D47" s="97"/>
      <c r="E47" s="2" t="s">
        <v>52</v>
      </c>
      <c r="F47" s="2">
        <f>C47</f>
        <v>833</v>
      </c>
      <c r="G47" s="93">
        <v>15</v>
      </c>
      <c r="H47" s="92">
        <f t="shared" ref="H47:H48" si="9">F47*G47</f>
        <v>12495</v>
      </c>
      <c r="K47">
        <v>75</v>
      </c>
      <c r="L47">
        <f t="shared" si="8"/>
        <v>120</v>
      </c>
      <c r="M47">
        <v>3.5</v>
      </c>
      <c r="N47">
        <f t="shared" ref="N47:N48" si="10">L47*M47</f>
        <v>420</v>
      </c>
    </row>
    <row r="48" spans="1:17" x14ac:dyDescent="0.3">
      <c r="A48" s="11">
        <v>2</v>
      </c>
      <c r="B48" s="2" t="s">
        <v>236</v>
      </c>
      <c r="C48" s="97">
        <v>833</v>
      </c>
      <c r="D48" s="97">
        <v>1.5</v>
      </c>
      <c r="E48" s="2" t="s">
        <v>52</v>
      </c>
      <c r="F48" s="2">
        <f>C48*D48</f>
        <v>1249.5</v>
      </c>
      <c r="G48" s="93">
        <v>28</v>
      </c>
      <c r="H48" s="92">
        <f t="shared" si="9"/>
        <v>34986</v>
      </c>
      <c r="K48">
        <v>50</v>
      </c>
      <c r="L48">
        <f t="shared" si="8"/>
        <v>120</v>
      </c>
      <c r="M48">
        <v>3.5</v>
      </c>
      <c r="N48">
        <f t="shared" si="10"/>
        <v>420</v>
      </c>
    </row>
    <row r="49" spans="1:16" ht="15" thickBot="1" x14ac:dyDescent="0.35">
      <c r="A49" s="11"/>
      <c r="B49" s="2"/>
      <c r="C49" s="2"/>
      <c r="D49" s="2"/>
      <c r="E49" s="2"/>
      <c r="F49" s="2"/>
      <c r="G49" s="2"/>
      <c r="H49" s="134">
        <f>SUM(H47:H48)</f>
        <v>47481</v>
      </c>
    </row>
    <row r="50" spans="1:16" ht="15" thickBot="1" x14ac:dyDescent="0.35">
      <c r="A50" s="70"/>
      <c r="B50" s="4"/>
      <c r="C50" s="4"/>
      <c r="D50" s="4"/>
      <c r="E50" s="4"/>
      <c r="F50" s="4"/>
      <c r="G50" s="4"/>
      <c r="H50" s="28"/>
      <c r="L50">
        <v>21</v>
      </c>
      <c r="M50">
        <v>7</v>
      </c>
      <c r="N50">
        <f>L50+M50</f>
        <v>28</v>
      </c>
      <c r="O50" s="141">
        <f>(N50*6)+6</f>
        <v>174</v>
      </c>
    </row>
    <row r="51" spans="1:16" ht="16.2" thickBot="1" x14ac:dyDescent="0.35">
      <c r="A51" s="90"/>
      <c r="B51" s="174" t="s">
        <v>237</v>
      </c>
      <c r="C51" s="175"/>
      <c r="D51" s="175"/>
      <c r="E51" s="175"/>
      <c r="F51" s="175"/>
      <c r="G51" s="176"/>
      <c r="H51" s="95">
        <f>H45+H49</f>
        <v>123261</v>
      </c>
    </row>
    <row r="52" spans="1:16" x14ac:dyDescent="0.3">
      <c r="A52" s="135" t="s">
        <v>111</v>
      </c>
      <c r="B52" s="136" t="s">
        <v>238</v>
      </c>
      <c r="C52" s="2"/>
      <c r="D52" s="2"/>
      <c r="E52" s="2"/>
      <c r="F52" s="2"/>
      <c r="G52" s="2"/>
      <c r="H52" s="10"/>
    </row>
    <row r="53" spans="1:16" x14ac:dyDescent="0.3">
      <c r="A53" s="137"/>
      <c r="B53" s="138" t="s">
        <v>243</v>
      </c>
      <c r="C53" s="2"/>
      <c r="D53" s="2"/>
      <c r="E53" s="2"/>
      <c r="F53" s="2"/>
      <c r="G53" s="2"/>
      <c r="H53" s="10"/>
      <c r="J53">
        <v>100</v>
      </c>
      <c r="K53" s="140">
        <f>65+65</f>
        <v>130</v>
      </c>
      <c r="L53">
        <v>100</v>
      </c>
      <c r="M53" s="140">
        <v>65</v>
      </c>
    </row>
    <row r="54" spans="1:16" x14ac:dyDescent="0.3">
      <c r="A54" s="11">
        <v>1</v>
      </c>
      <c r="B54" s="3" t="s">
        <v>252</v>
      </c>
      <c r="C54" s="96">
        <f>567+6</f>
        <v>573</v>
      </c>
      <c r="D54" s="96">
        <v>3.28</v>
      </c>
      <c r="E54" s="89" t="s">
        <v>225</v>
      </c>
      <c r="F54" s="89">
        <f>C54*D54</f>
        <v>1879.4399999999998</v>
      </c>
      <c r="G54" s="91">
        <v>225</v>
      </c>
      <c r="H54" s="92">
        <f>F54*G54</f>
        <v>422873.99999999994</v>
      </c>
      <c r="K54">
        <v>21.05</v>
      </c>
      <c r="L54">
        <f>(J53+K53+L53+M53)/1000</f>
        <v>0.39500000000000002</v>
      </c>
      <c r="M54">
        <f>K54/L54</f>
        <v>53.291139240506325</v>
      </c>
    </row>
    <row r="55" spans="1:16" ht="15" thickBot="1" x14ac:dyDescent="0.35">
      <c r="A55" s="11"/>
      <c r="B55" s="142" t="s">
        <v>253</v>
      </c>
      <c r="C55" s="96"/>
      <c r="D55" s="97"/>
      <c r="E55" s="89"/>
      <c r="F55" s="89"/>
      <c r="G55" s="91"/>
      <c r="H55" s="92"/>
    </row>
    <row r="56" spans="1:16" ht="15" thickBot="1" x14ac:dyDescent="0.35">
      <c r="A56" s="11"/>
      <c r="B56" s="2" t="s">
        <v>258</v>
      </c>
      <c r="C56" s="96"/>
      <c r="D56" s="97"/>
      <c r="E56" s="89"/>
      <c r="F56" s="89"/>
      <c r="G56" s="91"/>
      <c r="H56" s="92"/>
      <c r="K56">
        <f>54+54</f>
        <v>108</v>
      </c>
      <c r="M56">
        <v>54</v>
      </c>
      <c r="N56">
        <f>K56+M56</f>
        <v>162</v>
      </c>
      <c r="O56">
        <v>3.5</v>
      </c>
      <c r="P56" s="141">
        <f>(N56*O56)+6</f>
        <v>573</v>
      </c>
    </row>
    <row r="57" spans="1:16" x14ac:dyDescent="0.3">
      <c r="A57" s="11"/>
      <c r="B57" s="3"/>
      <c r="C57" s="96"/>
      <c r="D57" s="97"/>
      <c r="E57" s="89"/>
      <c r="F57" s="89"/>
      <c r="G57" s="91"/>
      <c r="H57" s="92"/>
    </row>
    <row r="58" spans="1:16" x14ac:dyDescent="0.3">
      <c r="A58" s="11"/>
      <c r="B58" s="3"/>
      <c r="C58" s="96"/>
      <c r="D58" s="97"/>
      <c r="E58" s="89"/>
      <c r="F58" s="89"/>
      <c r="G58" s="91"/>
      <c r="H58" s="92"/>
    </row>
    <row r="59" spans="1:16" ht="15" thickBot="1" x14ac:dyDescent="0.35">
      <c r="A59" s="11"/>
      <c r="B59" s="2"/>
      <c r="C59" s="2"/>
      <c r="D59" s="2"/>
      <c r="E59" s="2"/>
      <c r="F59" s="2"/>
      <c r="G59" s="2"/>
      <c r="H59" s="134"/>
    </row>
    <row r="60" spans="1:16" ht="16.2" thickBot="1" x14ac:dyDescent="0.35">
      <c r="A60" s="90"/>
      <c r="B60" s="174" t="s">
        <v>248</v>
      </c>
      <c r="C60" s="175"/>
      <c r="D60" s="175"/>
      <c r="E60" s="175"/>
      <c r="F60" s="175"/>
      <c r="G60" s="176"/>
      <c r="H60" s="95">
        <f>SUM(H54:H59)</f>
        <v>422873.99999999994</v>
      </c>
    </row>
    <row r="63" spans="1:16" ht="15" thickBot="1" x14ac:dyDescent="0.35"/>
    <row r="64" spans="1:16" ht="31.8" thickBot="1" x14ac:dyDescent="0.35">
      <c r="A64" s="98" t="s">
        <v>0</v>
      </c>
      <c r="B64" s="99" t="s">
        <v>20</v>
      </c>
      <c r="C64" s="100" t="s">
        <v>256</v>
      </c>
    </row>
    <row r="65" spans="1:3" x14ac:dyDescent="0.3">
      <c r="A65" s="6"/>
      <c r="B65" s="7"/>
      <c r="C65" s="7"/>
    </row>
    <row r="66" spans="1:3" x14ac:dyDescent="0.3">
      <c r="A66" s="135" t="s">
        <v>24</v>
      </c>
      <c r="B66" s="136" t="s">
        <v>254</v>
      </c>
      <c r="C66" s="2"/>
    </row>
    <row r="67" spans="1:3" x14ac:dyDescent="0.3">
      <c r="A67" s="11"/>
      <c r="B67" s="23" t="s">
        <v>33</v>
      </c>
      <c r="C67" s="2"/>
    </row>
    <row r="68" spans="1:3" x14ac:dyDescent="0.3">
      <c r="A68" s="11">
        <v>1</v>
      </c>
      <c r="B68" s="3" t="s">
        <v>255</v>
      </c>
      <c r="C68" s="96">
        <f>120/6</f>
        <v>20</v>
      </c>
    </row>
    <row r="69" spans="1:3" x14ac:dyDescent="0.3">
      <c r="A69" s="11">
        <v>2</v>
      </c>
      <c r="B69" s="3" t="s">
        <v>249</v>
      </c>
      <c r="C69" s="96">
        <f t="shared" ref="C69:C71" si="11">120/6</f>
        <v>20</v>
      </c>
    </row>
    <row r="70" spans="1:3" x14ac:dyDescent="0.3">
      <c r="A70" s="11">
        <v>3</v>
      </c>
      <c r="B70" s="3" t="s">
        <v>250</v>
      </c>
      <c r="C70" s="96">
        <f t="shared" si="11"/>
        <v>20</v>
      </c>
    </row>
    <row r="71" spans="1:3" x14ac:dyDescent="0.3">
      <c r="A71" s="11">
        <v>4</v>
      </c>
      <c r="B71" s="3" t="s">
        <v>251</v>
      </c>
      <c r="C71" s="96">
        <f t="shared" si="11"/>
        <v>20</v>
      </c>
    </row>
  </sheetData>
  <mergeCells count="6">
    <mergeCell ref="B60:G60"/>
    <mergeCell ref="A1:H1"/>
    <mergeCell ref="B17:G17"/>
    <mergeCell ref="B29:G29"/>
    <mergeCell ref="A34:H34"/>
    <mergeCell ref="B51:G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2026-01-02T10:34:24Z</dcterms:modified>
</cp:coreProperties>
</file>