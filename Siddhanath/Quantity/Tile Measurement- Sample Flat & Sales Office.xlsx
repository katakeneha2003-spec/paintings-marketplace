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8" i="1" l="1"/>
  <c r="F18" i="2"/>
  <c r="C17" i="2" l="1"/>
  <c r="F17" i="2" s="1"/>
  <c r="C16" i="2"/>
  <c r="F16" i="2" s="1"/>
  <c r="C15" i="2"/>
  <c r="F15" i="2" s="1"/>
  <c r="C14" i="2"/>
  <c r="F14" i="2" s="1"/>
  <c r="C13" i="2"/>
  <c r="F13" i="2" s="1"/>
  <c r="C12" i="2"/>
  <c r="F12" i="2" s="1"/>
  <c r="C11" i="2"/>
  <c r="F11" i="2" s="1"/>
  <c r="C10" i="2"/>
  <c r="F10" i="2" s="1"/>
  <c r="F8" i="2" l="1"/>
  <c r="C7" i="2"/>
  <c r="F7" i="2" s="1"/>
  <c r="C6" i="2"/>
  <c r="F6" i="2" s="1"/>
  <c r="D16" i="2"/>
  <c r="D14" i="2"/>
  <c r="D13" i="2"/>
  <c r="D10" i="2"/>
  <c r="D9" i="2"/>
  <c r="B9" i="2"/>
  <c r="D7" i="2"/>
  <c r="B7" i="2"/>
  <c r="D6" i="2"/>
  <c r="B6" i="2"/>
  <c r="H180" i="1"/>
  <c r="H179" i="1"/>
  <c r="H172" i="1"/>
  <c r="H173" i="1"/>
  <c r="H174" i="1"/>
  <c r="H175" i="1"/>
  <c r="H176" i="1"/>
  <c r="H177" i="1"/>
  <c r="H178" i="1"/>
  <c r="D178" i="1"/>
  <c r="D177" i="1"/>
  <c r="D176" i="1"/>
  <c r="D175" i="1"/>
  <c r="D174" i="1"/>
  <c r="D173" i="1"/>
  <c r="D172" i="1"/>
  <c r="D171" i="1"/>
  <c r="D170" i="1"/>
  <c r="H171" i="1"/>
  <c r="H167" i="1"/>
  <c r="H166" i="1"/>
  <c r="H163" i="1"/>
  <c r="H164" i="1"/>
  <c r="H165" i="1"/>
  <c r="H142" i="1"/>
  <c r="H143" i="1" s="1"/>
  <c r="H141" i="1"/>
  <c r="H140" i="1"/>
  <c r="D133" i="1"/>
  <c r="H130" i="1"/>
  <c r="H129" i="1"/>
  <c r="H128" i="1"/>
  <c r="H127" i="1"/>
  <c r="H125" i="1"/>
  <c r="H126" i="1"/>
  <c r="H94" i="1"/>
  <c r="H95" i="1"/>
  <c r="H96" i="1"/>
  <c r="H97" i="1"/>
  <c r="H98" i="1"/>
  <c r="H99" i="1"/>
  <c r="H100" i="1"/>
  <c r="H93" i="1"/>
  <c r="H116" i="1"/>
  <c r="H117" i="1"/>
  <c r="H121" i="1"/>
  <c r="J118" i="1" s="1"/>
  <c r="H170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39" i="1"/>
  <c r="H138" i="1"/>
  <c r="H134" i="1"/>
  <c r="H133" i="1"/>
  <c r="H132" i="1"/>
  <c r="H131" i="1"/>
  <c r="H124" i="1"/>
  <c r="H123" i="1"/>
  <c r="H106" i="1"/>
  <c r="H105" i="1"/>
  <c r="D86" i="1"/>
  <c r="H86" i="1" s="1"/>
  <c r="H87" i="1" s="1"/>
  <c r="H67" i="1"/>
  <c r="H68" i="1"/>
  <c r="H69" i="1"/>
  <c r="H70" i="1"/>
  <c r="H71" i="1"/>
  <c r="H72" i="1"/>
  <c r="H74" i="1"/>
  <c r="H75" i="1"/>
  <c r="H76" i="1"/>
  <c r="H77" i="1"/>
  <c r="H78" i="1"/>
  <c r="H79" i="1"/>
  <c r="H80" i="1"/>
  <c r="H81" i="1"/>
  <c r="H66" i="1"/>
  <c r="H144" i="1" l="1"/>
  <c r="H135" i="1"/>
  <c r="H136" i="1" s="1"/>
  <c r="H101" i="1"/>
  <c r="H107" i="1"/>
  <c r="D111" i="1" s="1"/>
  <c r="H111" i="1" s="1"/>
  <c r="H102" i="1"/>
  <c r="D110" i="1"/>
  <c r="H110" i="1" s="1"/>
  <c r="E73" i="1"/>
  <c r="H73" i="1" s="1"/>
  <c r="H82" i="1" s="1"/>
  <c r="H83" i="1" s="1"/>
  <c r="H108" i="1" l="1"/>
  <c r="H112" i="1"/>
  <c r="H113" i="1" s="1"/>
  <c r="H61" i="1"/>
  <c r="H60" i="1"/>
  <c r="H62" i="1" s="1"/>
  <c r="H63" i="1" s="1"/>
  <c r="H50" i="1"/>
  <c r="H51" i="1"/>
  <c r="H52" i="1"/>
  <c r="H53" i="1"/>
  <c r="H54" i="1"/>
  <c r="H55" i="1"/>
  <c r="H56" i="1"/>
  <c r="H49" i="1"/>
  <c r="H46" i="1"/>
  <c r="H47" i="1" s="1"/>
  <c r="H28" i="1"/>
  <c r="H29" i="1"/>
  <c r="H30" i="1"/>
  <c r="H31" i="1"/>
  <c r="H32" i="1"/>
  <c r="H33" i="1"/>
  <c r="H34" i="1"/>
  <c r="H35" i="1"/>
  <c r="H36" i="1"/>
  <c r="H37" i="1"/>
  <c r="H2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7" i="1"/>
  <c r="H57" i="1" l="1"/>
  <c r="H58" i="1" s="1"/>
  <c r="H23" i="1"/>
  <c r="D41" i="1" s="1"/>
  <c r="H41" i="1" s="1"/>
  <c r="H38" i="1"/>
  <c r="H39" i="1" s="1"/>
  <c r="D42" i="1" l="1"/>
  <c r="H42" i="1" s="1"/>
  <c r="H43" i="1" s="1"/>
  <c r="H44" i="1" s="1"/>
  <c r="H24" i="1"/>
  <c r="F9" i="2"/>
  <c r="F19" i="2" s="1"/>
  <c r="H120" i="1"/>
  <c r="H119" i="1"/>
</calcChain>
</file>

<file path=xl/sharedStrings.xml><?xml version="1.0" encoding="utf-8"?>
<sst xmlns="http://schemas.openxmlformats.org/spreadsheetml/2006/main" count="278" uniqueCount="111">
  <si>
    <t>Sr.No.</t>
  </si>
  <si>
    <t>Description</t>
  </si>
  <si>
    <t>No.</t>
  </si>
  <si>
    <t>L</t>
  </si>
  <si>
    <t>B</t>
  </si>
  <si>
    <t>H</t>
  </si>
  <si>
    <t>Unit</t>
  </si>
  <si>
    <t>A</t>
  </si>
  <si>
    <t>SALES OFFICE</t>
  </si>
  <si>
    <t>For Pantry</t>
  </si>
  <si>
    <t>CEO 2</t>
  </si>
  <si>
    <t>Acount department</t>
  </si>
  <si>
    <t>CEO 1</t>
  </si>
  <si>
    <t>Rest room</t>
  </si>
  <si>
    <t>Toilet Ventilators</t>
  </si>
  <si>
    <t>Window Granite Frame</t>
  </si>
  <si>
    <t>Quantity</t>
  </si>
  <si>
    <t>R.mtr</t>
  </si>
  <si>
    <t>R.ft</t>
  </si>
  <si>
    <t>Door Granite Frame</t>
  </si>
  <si>
    <t>Toilet Door</t>
  </si>
  <si>
    <t>Porch</t>
  </si>
  <si>
    <t>CEO 2 Umbra patti</t>
  </si>
  <si>
    <t>CEO 1 Umbra patti</t>
  </si>
  <si>
    <t>Restroom</t>
  </si>
  <si>
    <t>Toilet Umbra patti</t>
  </si>
  <si>
    <t>A. V. room</t>
  </si>
  <si>
    <t>Edge polish</t>
  </si>
  <si>
    <t>Kitchen Platform</t>
  </si>
  <si>
    <t>Deduction</t>
  </si>
  <si>
    <t>Sq.mtr</t>
  </si>
  <si>
    <t>Sq.ft</t>
  </si>
  <si>
    <t>Dado Tiling</t>
  </si>
  <si>
    <t>Toilet Flooring</t>
  </si>
  <si>
    <t xml:space="preserve">Flooring </t>
  </si>
  <si>
    <t>Skirting</t>
  </si>
  <si>
    <t>SAMPLE FLAT</t>
  </si>
  <si>
    <t>Common, Master 1 &amp; Master 2</t>
  </si>
  <si>
    <t>window sill- M.bedroom1</t>
  </si>
  <si>
    <t>window sill- Terrace 1</t>
  </si>
  <si>
    <t>window sill- Terrace 2</t>
  </si>
  <si>
    <t>window sill- C. bedroom</t>
  </si>
  <si>
    <t xml:space="preserve">window sill- Kitchen </t>
  </si>
  <si>
    <t>window sill- H. Terrace</t>
  </si>
  <si>
    <t>Platform 1</t>
  </si>
  <si>
    <t xml:space="preserve">Vertical </t>
  </si>
  <si>
    <t>Platform 2</t>
  </si>
  <si>
    <t>Basin counter</t>
  </si>
  <si>
    <t>Common Toilet Dado</t>
  </si>
  <si>
    <t>Master1 Toilet Dado</t>
  </si>
  <si>
    <t>Master2 Toilet Dado</t>
  </si>
  <si>
    <t>Measurement Sheet</t>
  </si>
  <si>
    <t>Summary Sheet</t>
  </si>
  <si>
    <t>Description of work</t>
  </si>
  <si>
    <t>Rate</t>
  </si>
  <si>
    <t>Amount</t>
  </si>
  <si>
    <t>Total Amount =</t>
  </si>
  <si>
    <t>Kitchen Dado 600x600</t>
  </si>
  <si>
    <t>Toilet passage 600x600</t>
  </si>
  <si>
    <t>Toilet Dado 600x600</t>
  </si>
  <si>
    <t>Toilet Dado CEO 1 600x600</t>
  </si>
  <si>
    <t>CEO 1 300x300</t>
  </si>
  <si>
    <t>Sales 300*300</t>
  </si>
  <si>
    <t>Store room 800x800</t>
  </si>
  <si>
    <t>Kitchen 800x800</t>
  </si>
  <si>
    <t>Dining 800x800</t>
  </si>
  <si>
    <t>Passage 800x800</t>
  </si>
  <si>
    <t>A. V. Room 800x800</t>
  </si>
  <si>
    <t>Sales Cabin 1 &amp; 2 800x800</t>
  </si>
  <si>
    <t>CEO cabin 2 800x800</t>
  </si>
  <si>
    <t>Model room 800x800</t>
  </si>
  <si>
    <t>Account cabin &amp; Sales cabin 3 800x800</t>
  </si>
  <si>
    <t>Toilet passage 800x800</t>
  </si>
  <si>
    <t>CEO cabin 1 800x800</t>
  </si>
  <si>
    <t>Walldrop 800x800</t>
  </si>
  <si>
    <t>Bedroom 800x800</t>
  </si>
  <si>
    <t xml:space="preserve">Deduction </t>
  </si>
  <si>
    <t>skirting 800x800</t>
  </si>
  <si>
    <t>Kitchen Dado- Platform1 600x600</t>
  </si>
  <si>
    <t>Platform 2 600x600</t>
  </si>
  <si>
    <t>Dry balcony 600x600</t>
  </si>
  <si>
    <t>Wash basin Dado 600*600</t>
  </si>
  <si>
    <t>Common Toilet 600x1200</t>
  </si>
  <si>
    <t>Master1 Toilet 600x1200</t>
  </si>
  <si>
    <t>Master2 Toilet 600x1200</t>
  </si>
  <si>
    <t>Living Terrace 600x1200</t>
  </si>
  <si>
    <t>Dry balcony 600x1200</t>
  </si>
  <si>
    <t>Master1 Terrace 600x1200</t>
  </si>
  <si>
    <t>Master2 Terrace 600x1200</t>
  </si>
  <si>
    <t>Master bedroom1 600x1200</t>
  </si>
  <si>
    <t>Master bedroom2 600x1200</t>
  </si>
  <si>
    <t>Passage 600x1200</t>
  </si>
  <si>
    <t>Common bedroom 600x1200</t>
  </si>
  <si>
    <t>Kitchen 600x1200</t>
  </si>
  <si>
    <t>Living    600x1200</t>
  </si>
  <si>
    <t>Entrance  600x1200</t>
  </si>
  <si>
    <t>Master 2 Terrace 600x1200</t>
  </si>
  <si>
    <t>Master 1 Terrace 600x1200</t>
  </si>
  <si>
    <t>Livingroom 600x1200</t>
  </si>
  <si>
    <t>Living terrace 600x1200</t>
  </si>
  <si>
    <t>Entrance 600x1200</t>
  </si>
  <si>
    <t>Dado Tile 600x600</t>
  </si>
  <si>
    <t>Dado Tile 600x1200</t>
  </si>
  <si>
    <t>Toilet Flooring 300x300</t>
  </si>
  <si>
    <t>Toilet Flooring 600x1200</t>
  </si>
  <si>
    <t>Flooring 800x800</t>
  </si>
  <si>
    <t>Flooring 600x1200</t>
  </si>
  <si>
    <t>Skirting 800x800</t>
  </si>
  <si>
    <t>Skirting 600x1200</t>
  </si>
  <si>
    <t>Kitchen Vertical</t>
  </si>
  <si>
    <t>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</si>
</sst>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0"/>
  <sheetViews>
    <sheetView topLeftCell="A97" workbookViewId="0">
      <selection activeCell="H120" sqref="H120"/>
    </sheetView>
  </sheetViews>
  <sheetFormatPr defaultRowHeight="14.4" x14ac:dyDescent="0.3"/>
  <cols>
    <col min="1" max="1" width="6.109375" bestFit="1" customWidth="1"/>
    <col min="2" max="2" width="29.77734375" customWidth="1"/>
    <col min="3" max="3" width="5.77734375" customWidth="1"/>
    <col min="8" max="8" width="12.6640625" customWidth="1"/>
  </cols>
  <sheetData>
    <row r="1" spans="1:8" x14ac:dyDescent="0.3">
      <c r="B1" t="s">
        <v>51</v>
      </c>
    </row>
    <row r="2" spans="1:8" ht="15" thickBot="1" x14ac:dyDescent="0.35"/>
    <row r="3" spans="1:8" ht="19.8" customHeight="1" thickBot="1" x14ac:dyDescent="0.3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8" t="s">
        <v>16</v>
      </c>
    </row>
    <row r="4" spans="1:8" x14ac:dyDescent="0.3">
      <c r="A4" s="5"/>
      <c r="B4" s="5"/>
      <c r="C4" s="5"/>
      <c r="D4" s="5"/>
      <c r="E4" s="5"/>
      <c r="F4" s="5"/>
      <c r="G4" s="5"/>
      <c r="H4" s="5"/>
    </row>
    <row r="5" spans="1:8" ht="15.6" x14ac:dyDescent="0.3">
      <c r="A5" s="2" t="s">
        <v>7</v>
      </c>
      <c r="B5" s="2" t="s">
        <v>8</v>
      </c>
      <c r="C5" s="1"/>
      <c r="D5" s="1"/>
      <c r="E5" s="1"/>
      <c r="F5" s="1"/>
      <c r="G5" s="1"/>
      <c r="H5" s="1"/>
    </row>
    <row r="6" spans="1:8" x14ac:dyDescent="0.3">
      <c r="A6" s="3">
        <v>1</v>
      </c>
      <c r="B6" s="9" t="s">
        <v>15</v>
      </c>
      <c r="C6" s="1"/>
      <c r="D6" s="1"/>
      <c r="E6" s="1"/>
      <c r="F6" s="1"/>
      <c r="G6" s="1"/>
      <c r="H6" s="1"/>
    </row>
    <row r="7" spans="1:8" x14ac:dyDescent="0.3">
      <c r="A7" s="1"/>
      <c r="B7" s="1" t="s">
        <v>9</v>
      </c>
      <c r="C7" s="1">
        <v>2</v>
      </c>
      <c r="D7" s="1">
        <v>1.8</v>
      </c>
      <c r="E7" s="1"/>
      <c r="F7" s="1"/>
      <c r="G7" s="1" t="s">
        <v>17</v>
      </c>
      <c r="H7" s="1">
        <f>C7*D7</f>
        <v>3.6</v>
      </c>
    </row>
    <row r="8" spans="1:8" x14ac:dyDescent="0.3">
      <c r="A8" s="1"/>
      <c r="B8" s="1"/>
      <c r="C8" s="1">
        <v>2</v>
      </c>
      <c r="D8" s="1">
        <v>1.9</v>
      </c>
      <c r="E8" s="1"/>
      <c r="F8" s="1"/>
      <c r="G8" s="1" t="s">
        <v>17</v>
      </c>
      <c r="H8" s="1">
        <f t="shared" ref="H8:H22" si="0">C8*D8</f>
        <v>3.8</v>
      </c>
    </row>
    <row r="9" spans="1:8" x14ac:dyDescent="0.3">
      <c r="A9" s="1"/>
      <c r="B9" s="1"/>
      <c r="C9" s="1">
        <v>2</v>
      </c>
      <c r="D9" s="1">
        <v>3.2</v>
      </c>
      <c r="E9" s="1"/>
      <c r="F9" s="1"/>
      <c r="G9" s="1" t="s">
        <v>17</v>
      </c>
      <c r="H9" s="1">
        <f t="shared" si="0"/>
        <v>6.4</v>
      </c>
    </row>
    <row r="10" spans="1:8" x14ac:dyDescent="0.3">
      <c r="A10" s="1"/>
      <c r="B10" s="1"/>
      <c r="C10" s="1">
        <v>2</v>
      </c>
      <c r="D10" s="1">
        <v>2.2999999999999998</v>
      </c>
      <c r="E10" s="1"/>
      <c r="F10" s="1"/>
      <c r="G10" s="1" t="s">
        <v>17</v>
      </c>
      <c r="H10" s="1">
        <f t="shared" si="0"/>
        <v>4.5999999999999996</v>
      </c>
    </row>
    <row r="11" spans="1:8" x14ac:dyDescent="0.3">
      <c r="A11" s="1"/>
      <c r="B11" s="1" t="s">
        <v>10</v>
      </c>
      <c r="C11" s="1">
        <v>2</v>
      </c>
      <c r="D11" s="1">
        <v>2.63</v>
      </c>
      <c r="E11" s="1"/>
      <c r="F11" s="1"/>
      <c r="G11" s="1" t="s">
        <v>17</v>
      </c>
      <c r="H11" s="1">
        <f t="shared" si="0"/>
        <v>5.26</v>
      </c>
    </row>
    <row r="12" spans="1:8" x14ac:dyDescent="0.3">
      <c r="A12" s="1"/>
      <c r="B12" s="1"/>
      <c r="C12" s="1">
        <v>2</v>
      </c>
      <c r="D12" s="1">
        <v>2.4</v>
      </c>
      <c r="E12" s="1"/>
      <c r="F12" s="1"/>
      <c r="G12" s="1" t="s">
        <v>17</v>
      </c>
      <c r="H12" s="1">
        <f t="shared" si="0"/>
        <v>4.8</v>
      </c>
    </row>
    <row r="13" spans="1:8" x14ac:dyDescent="0.3">
      <c r="A13" s="1"/>
      <c r="B13" s="1" t="s">
        <v>11</v>
      </c>
      <c r="C13" s="1">
        <v>2</v>
      </c>
      <c r="D13" s="1">
        <v>2.34</v>
      </c>
      <c r="E13" s="1"/>
      <c r="F13" s="1"/>
      <c r="G13" s="1" t="s">
        <v>17</v>
      </c>
      <c r="H13" s="1">
        <f t="shared" si="0"/>
        <v>4.68</v>
      </c>
    </row>
    <row r="14" spans="1:8" x14ac:dyDescent="0.3">
      <c r="A14" s="1"/>
      <c r="B14" s="1"/>
      <c r="C14" s="1">
        <v>2</v>
      </c>
      <c r="D14" s="1">
        <v>2.35</v>
      </c>
      <c r="E14" s="1"/>
      <c r="F14" s="1"/>
      <c r="G14" s="1" t="s">
        <v>17</v>
      </c>
      <c r="H14" s="1">
        <f t="shared" si="0"/>
        <v>4.7</v>
      </c>
    </row>
    <row r="15" spans="1:8" x14ac:dyDescent="0.3">
      <c r="A15" s="1"/>
      <c r="B15" s="1" t="s">
        <v>12</v>
      </c>
      <c r="C15" s="1">
        <v>2</v>
      </c>
      <c r="D15" s="1">
        <v>2.2999999999999998</v>
      </c>
      <c r="E15" s="1"/>
      <c r="F15" s="1"/>
      <c r="G15" s="1" t="s">
        <v>17</v>
      </c>
      <c r="H15" s="1">
        <f t="shared" si="0"/>
        <v>4.5999999999999996</v>
      </c>
    </row>
    <row r="16" spans="1:8" x14ac:dyDescent="0.3">
      <c r="A16" s="1"/>
      <c r="B16" s="1"/>
      <c r="C16" s="1">
        <v>2</v>
      </c>
      <c r="D16" s="1">
        <v>1.52</v>
      </c>
      <c r="E16" s="1"/>
      <c r="F16" s="1"/>
      <c r="G16" s="1" t="s">
        <v>17</v>
      </c>
      <c r="H16" s="1">
        <f t="shared" si="0"/>
        <v>3.04</v>
      </c>
    </row>
    <row r="17" spans="1:8" x14ac:dyDescent="0.3">
      <c r="A17" s="1"/>
      <c r="B17" s="1" t="s">
        <v>13</v>
      </c>
      <c r="C17" s="1">
        <v>2</v>
      </c>
      <c r="D17" s="1">
        <v>2.35</v>
      </c>
      <c r="E17" s="1"/>
      <c r="F17" s="1"/>
      <c r="G17" s="1" t="s">
        <v>17</v>
      </c>
      <c r="H17" s="1">
        <f t="shared" si="0"/>
        <v>4.7</v>
      </c>
    </row>
    <row r="18" spans="1:8" x14ac:dyDescent="0.3">
      <c r="A18" s="1"/>
      <c r="B18" s="1"/>
      <c r="C18" s="1">
        <v>2</v>
      </c>
      <c r="D18" s="1">
        <v>1.6</v>
      </c>
      <c r="E18" s="1"/>
      <c r="F18" s="1"/>
      <c r="G18" s="1" t="s">
        <v>17</v>
      </c>
      <c r="H18" s="1">
        <f t="shared" si="0"/>
        <v>3.2</v>
      </c>
    </row>
    <row r="19" spans="1:8" x14ac:dyDescent="0.3">
      <c r="A19" s="1"/>
      <c r="B19" s="1"/>
      <c r="C19" s="1">
        <v>2</v>
      </c>
      <c r="D19" s="1">
        <v>1.34</v>
      </c>
      <c r="E19" s="1"/>
      <c r="F19" s="1"/>
      <c r="G19" s="1" t="s">
        <v>17</v>
      </c>
      <c r="H19" s="1">
        <f t="shared" si="0"/>
        <v>2.68</v>
      </c>
    </row>
    <row r="20" spans="1:8" x14ac:dyDescent="0.3">
      <c r="A20" s="1"/>
      <c r="B20" s="1"/>
      <c r="C20" s="1">
        <v>2</v>
      </c>
      <c r="D20" s="1">
        <v>2.35</v>
      </c>
      <c r="E20" s="1"/>
      <c r="F20" s="1"/>
      <c r="G20" s="1" t="s">
        <v>17</v>
      </c>
      <c r="H20" s="1">
        <f t="shared" si="0"/>
        <v>4.7</v>
      </c>
    </row>
    <row r="21" spans="1:8" x14ac:dyDescent="0.3">
      <c r="A21" s="1"/>
      <c r="B21" s="1" t="s">
        <v>14</v>
      </c>
      <c r="C21" s="1">
        <v>3</v>
      </c>
      <c r="D21" s="1">
        <v>0.88</v>
      </c>
      <c r="E21" s="1"/>
      <c r="F21" s="1"/>
      <c r="G21" s="1" t="s">
        <v>17</v>
      </c>
      <c r="H21" s="1">
        <f t="shared" si="0"/>
        <v>2.64</v>
      </c>
    </row>
    <row r="22" spans="1:8" x14ac:dyDescent="0.3">
      <c r="A22" s="1"/>
      <c r="B22" s="1"/>
      <c r="C22" s="1">
        <v>3</v>
      </c>
      <c r="D22" s="1">
        <v>0.59</v>
      </c>
      <c r="E22" s="1"/>
      <c r="F22" s="1"/>
      <c r="G22" s="1" t="s">
        <v>17</v>
      </c>
      <c r="H22" s="1">
        <f t="shared" si="0"/>
        <v>1.77</v>
      </c>
    </row>
    <row r="23" spans="1:8" x14ac:dyDescent="0.3">
      <c r="A23" s="1"/>
      <c r="B23" s="1"/>
      <c r="C23" s="1"/>
      <c r="D23" s="1"/>
      <c r="E23" s="1"/>
      <c r="F23" s="1"/>
      <c r="G23" s="1"/>
      <c r="H23" s="3">
        <f>SUM(H7:H22)</f>
        <v>65.170000000000016</v>
      </c>
    </row>
    <row r="24" spans="1:8" x14ac:dyDescent="0.3">
      <c r="A24" s="1"/>
      <c r="B24" s="1"/>
      <c r="C24" s="1"/>
      <c r="D24" s="1"/>
      <c r="E24" s="1"/>
      <c r="F24" s="1"/>
      <c r="G24" s="9" t="s">
        <v>18</v>
      </c>
      <c r="H24" s="9">
        <f>H23*3.28</f>
        <v>213.75760000000005</v>
      </c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3">
        <v>2</v>
      </c>
      <c r="B26" s="9" t="s">
        <v>19</v>
      </c>
      <c r="C26" s="1"/>
      <c r="D26" s="1"/>
      <c r="E26" s="1"/>
      <c r="F26" s="1"/>
      <c r="G26" s="1"/>
      <c r="H26" s="1"/>
    </row>
    <row r="27" spans="1:8" x14ac:dyDescent="0.3">
      <c r="A27" s="1"/>
      <c r="B27" s="1" t="s">
        <v>20</v>
      </c>
      <c r="C27" s="1">
        <v>3</v>
      </c>
      <c r="D27" s="1">
        <v>0.72</v>
      </c>
      <c r="E27" s="1"/>
      <c r="F27" s="1"/>
      <c r="G27" s="1" t="s">
        <v>17</v>
      </c>
      <c r="H27" s="1">
        <f t="shared" ref="H27:H37" si="1">C27*D27</f>
        <v>2.16</v>
      </c>
    </row>
    <row r="28" spans="1:8" x14ac:dyDescent="0.3">
      <c r="A28" s="1"/>
      <c r="B28" s="1"/>
      <c r="C28" s="1">
        <v>6</v>
      </c>
      <c r="D28" s="1">
        <v>2.9</v>
      </c>
      <c r="E28" s="1"/>
      <c r="F28" s="1"/>
      <c r="G28" s="1" t="s">
        <v>17</v>
      </c>
      <c r="H28" s="1">
        <f t="shared" si="1"/>
        <v>17.399999999999999</v>
      </c>
    </row>
    <row r="29" spans="1:8" x14ac:dyDescent="0.3">
      <c r="A29" s="1"/>
      <c r="B29" s="1" t="s">
        <v>21</v>
      </c>
      <c r="C29" s="1">
        <v>1</v>
      </c>
      <c r="D29" s="1">
        <v>1.5</v>
      </c>
      <c r="E29" s="1"/>
      <c r="F29" s="1"/>
      <c r="G29" s="1" t="s">
        <v>17</v>
      </c>
      <c r="H29" s="1">
        <f t="shared" si="1"/>
        <v>1.5</v>
      </c>
    </row>
    <row r="30" spans="1:8" x14ac:dyDescent="0.3">
      <c r="A30" s="1"/>
      <c r="B30" s="1"/>
      <c r="C30" s="1">
        <v>1</v>
      </c>
      <c r="D30" s="1">
        <v>1.5249999999999999</v>
      </c>
      <c r="E30" s="1"/>
      <c r="F30" s="1"/>
      <c r="G30" s="1" t="s">
        <v>17</v>
      </c>
      <c r="H30" s="1">
        <f t="shared" si="1"/>
        <v>1.5249999999999999</v>
      </c>
    </row>
    <row r="31" spans="1:8" x14ac:dyDescent="0.3">
      <c r="A31" s="1"/>
      <c r="B31" s="1"/>
      <c r="C31" s="1">
        <v>1</v>
      </c>
      <c r="D31" s="1">
        <v>4.33</v>
      </c>
      <c r="E31" s="1"/>
      <c r="F31" s="1"/>
      <c r="G31" s="1" t="s">
        <v>17</v>
      </c>
      <c r="H31" s="1">
        <f t="shared" si="1"/>
        <v>4.33</v>
      </c>
    </row>
    <row r="32" spans="1:8" x14ac:dyDescent="0.3">
      <c r="A32" s="1"/>
      <c r="B32" s="1" t="s">
        <v>22</v>
      </c>
      <c r="C32" s="1">
        <v>1</v>
      </c>
      <c r="D32" s="1">
        <v>1.2</v>
      </c>
      <c r="E32" s="1"/>
      <c r="F32" s="1"/>
      <c r="G32" s="1" t="s">
        <v>17</v>
      </c>
      <c r="H32" s="1">
        <f t="shared" si="1"/>
        <v>1.2</v>
      </c>
    </row>
    <row r="33" spans="1:8" x14ac:dyDescent="0.3">
      <c r="A33" s="1"/>
      <c r="B33" s="1"/>
      <c r="C33" s="1">
        <v>1</v>
      </c>
      <c r="D33" s="1">
        <v>0.9</v>
      </c>
      <c r="E33" s="1"/>
      <c r="F33" s="1"/>
      <c r="G33" s="1" t="s">
        <v>17</v>
      </c>
      <c r="H33" s="1">
        <f t="shared" si="1"/>
        <v>0.9</v>
      </c>
    </row>
    <row r="34" spans="1:8" x14ac:dyDescent="0.3">
      <c r="A34" s="1"/>
      <c r="B34" s="1" t="s">
        <v>23</v>
      </c>
      <c r="C34" s="1">
        <v>1</v>
      </c>
      <c r="D34" s="1">
        <v>1</v>
      </c>
      <c r="E34" s="1"/>
      <c r="F34" s="1"/>
      <c r="G34" s="1" t="s">
        <v>17</v>
      </c>
      <c r="H34" s="1">
        <f t="shared" si="1"/>
        <v>1</v>
      </c>
    </row>
    <row r="35" spans="1:8" x14ac:dyDescent="0.3">
      <c r="A35" s="1"/>
      <c r="B35" s="1" t="s">
        <v>24</v>
      </c>
      <c r="C35" s="1">
        <v>1</v>
      </c>
      <c r="D35" s="1">
        <v>0.9</v>
      </c>
      <c r="E35" s="1"/>
      <c r="F35" s="1"/>
      <c r="G35" s="1" t="s">
        <v>17</v>
      </c>
      <c r="H35" s="1">
        <f t="shared" si="1"/>
        <v>0.9</v>
      </c>
    </row>
    <row r="36" spans="1:8" x14ac:dyDescent="0.3">
      <c r="A36" s="1"/>
      <c r="B36" s="1" t="s">
        <v>25</v>
      </c>
      <c r="C36" s="1">
        <v>3</v>
      </c>
      <c r="D36" s="1">
        <v>0.65</v>
      </c>
      <c r="E36" s="1"/>
      <c r="F36" s="1"/>
      <c r="G36" s="1" t="s">
        <v>17</v>
      </c>
      <c r="H36" s="1">
        <f t="shared" si="1"/>
        <v>1.9500000000000002</v>
      </c>
    </row>
    <row r="37" spans="1:8" x14ac:dyDescent="0.3">
      <c r="A37" s="1"/>
      <c r="B37" s="1" t="s">
        <v>26</v>
      </c>
      <c r="C37" s="1">
        <v>1</v>
      </c>
      <c r="D37" s="1">
        <v>1.17</v>
      </c>
      <c r="E37" s="1"/>
      <c r="F37" s="1"/>
      <c r="G37" s="1" t="s">
        <v>17</v>
      </c>
      <c r="H37" s="1">
        <f t="shared" si="1"/>
        <v>1.17</v>
      </c>
    </row>
    <row r="38" spans="1:8" x14ac:dyDescent="0.3">
      <c r="A38" s="1"/>
      <c r="B38" s="1"/>
      <c r="C38" s="1"/>
      <c r="D38" s="1"/>
      <c r="E38" s="1"/>
      <c r="F38" s="1"/>
      <c r="G38" s="1"/>
      <c r="H38" s="3">
        <f>SUM(H27:H37)</f>
        <v>34.034999999999997</v>
      </c>
    </row>
    <row r="39" spans="1:8" x14ac:dyDescent="0.3">
      <c r="A39" s="1"/>
      <c r="B39" s="1"/>
      <c r="C39" s="1"/>
      <c r="D39" s="1"/>
      <c r="E39" s="1"/>
      <c r="F39" s="1"/>
      <c r="G39" s="9" t="s">
        <v>18</v>
      </c>
      <c r="H39" s="9">
        <f>H38*3.28</f>
        <v>111.63479999999998</v>
      </c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3">
        <v>3</v>
      </c>
      <c r="B41" s="9" t="s">
        <v>27</v>
      </c>
      <c r="C41" s="1">
        <v>1</v>
      </c>
      <c r="D41" s="1">
        <f>H23</f>
        <v>65.170000000000016</v>
      </c>
      <c r="E41" s="1"/>
      <c r="F41" s="1"/>
      <c r="G41" s="1" t="s">
        <v>17</v>
      </c>
      <c r="H41" s="1">
        <f t="shared" ref="H41:H42" si="2">C41*D41</f>
        <v>65.170000000000016</v>
      </c>
    </row>
    <row r="42" spans="1:8" x14ac:dyDescent="0.3">
      <c r="A42" s="1"/>
      <c r="B42" s="1"/>
      <c r="C42" s="1">
        <v>1</v>
      </c>
      <c r="D42" s="1">
        <f>H38</f>
        <v>34.034999999999997</v>
      </c>
      <c r="E42" s="1"/>
      <c r="F42" s="1"/>
      <c r="G42" s="1" t="s">
        <v>17</v>
      </c>
      <c r="H42" s="1">
        <f t="shared" si="2"/>
        <v>34.034999999999997</v>
      </c>
    </row>
    <row r="43" spans="1:8" x14ac:dyDescent="0.3">
      <c r="A43" s="1"/>
      <c r="B43" s="1"/>
      <c r="C43" s="1"/>
      <c r="D43" s="1"/>
      <c r="E43" s="1"/>
      <c r="F43" s="1"/>
      <c r="G43" s="1"/>
      <c r="H43" s="3">
        <f>SUM(H41:H42)</f>
        <v>99.205000000000013</v>
      </c>
    </row>
    <row r="44" spans="1:8" x14ac:dyDescent="0.3">
      <c r="A44" s="1"/>
      <c r="B44" s="1"/>
      <c r="C44" s="1"/>
      <c r="D44" s="1"/>
      <c r="E44" s="1"/>
      <c r="F44" s="1"/>
      <c r="G44" s="9" t="s">
        <v>18</v>
      </c>
      <c r="H44" s="9">
        <f>H43*3.28</f>
        <v>325.39240000000001</v>
      </c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3">
        <v>4</v>
      </c>
      <c r="B46" s="9" t="s">
        <v>28</v>
      </c>
      <c r="C46" s="1">
        <v>1</v>
      </c>
      <c r="D46" s="1">
        <v>2.48</v>
      </c>
      <c r="E46" s="1"/>
      <c r="F46" s="1"/>
      <c r="G46" s="1" t="s">
        <v>17</v>
      </c>
      <c r="H46" s="3">
        <f>C46*D46</f>
        <v>2.48</v>
      </c>
    </row>
    <row r="47" spans="1:8" x14ac:dyDescent="0.3">
      <c r="A47" s="1"/>
      <c r="B47" s="1"/>
      <c r="C47" s="1"/>
      <c r="D47" s="1"/>
      <c r="E47" s="1"/>
      <c r="F47" s="1"/>
      <c r="G47" s="9" t="s">
        <v>18</v>
      </c>
      <c r="H47" s="9">
        <f>H46*3.28</f>
        <v>8.1343999999999994</v>
      </c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3">
        <v>5</v>
      </c>
      <c r="B49" s="9" t="s">
        <v>32</v>
      </c>
      <c r="C49" s="1">
        <v>1</v>
      </c>
      <c r="D49" s="1">
        <v>1.02</v>
      </c>
      <c r="E49" s="1">
        <v>0.8</v>
      </c>
      <c r="F49" s="1"/>
      <c r="G49" s="1" t="s">
        <v>30</v>
      </c>
      <c r="H49" s="1">
        <f>C49*D49*E49</f>
        <v>0.81600000000000006</v>
      </c>
    </row>
    <row r="50" spans="1:8" x14ac:dyDescent="0.3">
      <c r="A50" s="1"/>
      <c r="B50" s="1" t="s">
        <v>57</v>
      </c>
      <c r="C50" s="1">
        <v>1</v>
      </c>
      <c r="D50" s="1">
        <v>0.93</v>
      </c>
      <c r="E50" s="1">
        <v>0.8</v>
      </c>
      <c r="F50" s="1"/>
      <c r="G50" s="1" t="s">
        <v>30</v>
      </c>
      <c r="H50" s="1">
        <f t="shared" ref="H50:H56" si="3">C50*D50*E50</f>
        <v>0.74400000000000011</v>
      </c>
    </row>
    <row r="51" spans="1:8" x14ac:dyDescent="0.3">
      <c r="A51" s="1"/>
      <c r="B51" s="1"/>
      <c r="C51" s="1">
        <v>1</v>
      </c>
      <c r="D51" s="1">
        <v>0.2</v>
      </c>
      <c r="E51" s="1">
        <v>1.8</v>
      </c>
      <c r="F51" s="1"/>
      <c r="G51" s="1" t="s">
        <v>30</v>
      </c>
      <c r="H51" s="1">
        <f t="shared" si="3"/>
        <v>0.36000000000000004</v>
      </c>
    </row>
    <row r="52" spans="1:8" x14ac:dyDescent="0.3">
      <c r="A52" s="1"/>
      <c r="B52" s="1" t="s">
        <v>58</v>
      </c>
      <c r="C52" s="1">
        <v>1</v>
      </c>
      <c r="D52" s="1">
        <v>1.7749999999999999</v>
      </c>
      <c r="E52" s="1">
        <v>0.8</v>
      </c>
      <c r="F52" s="1"/>
      <c r="G52" s="1" t="s">
        <v>30</v>
      </c>
      <c r="H52" s="1">
        <f t="shared" si="3"/>
        <v>1.42</v>
      </c>
    </row>
    <row r="53" spans="1:8" x14ac:dyDescent="0.3">
      <c r="A53" s="1"/>
      <c r="B53" s="1" t="s">
        <v>59</v>
      </c>
      <c r="C53" s="1">
        <v>2</v>
      </c>
      <c r="D53" s="1">
        <v>5.7750000000000004</v>
      </c>
      <c r="E53" s="1">
        <v>2.8650000000000002</v>
      </c>
      <c r="F53" s="1"/>
      <c r="G53" s="1" t="s">
        <v>30</v>
      </c>
      <c r="H53" s="1">
        <f t="shared" si="3"/>
        <v>33.090750000000007</v>
      </c>
    </row>
    <row r="54" spans="1:8" x14ac:dyDescent="0.3">
      <c r="A54" s="1"/>
      <c r="B54" s="4" t="s">
        <v>29</v>
      </c>
      <c r="C54" s="1">
        <v>2</v>
      </c>
      <c r="D54" s="1">
        <v>0.6</v>
      </c>
      <c r="E54" s="1">
        <v>0.88</v>
      </c>
      <c r="F54" s="1"/>
      <c r="G54" s="1" t="s">
        <v>30</v>
      </c>
      <c r="H54" s="1">
        <f t="shared" si="3"/>
        <v>1.056</v>
      </c>
    </row>
    <row r="55" spans="1:8" x14ac:dyDescent="0.3">
      <c r="A55" s="1"/>
      <c r="B55" s="1" t="s">
        <v>60</v>
      </c>
      <c r="C55" s="1">
        <v>1</v>
      </c>
      <c r="D55" s="1">
        <v>6.0949999999999998</v>
      </c>
      <c r="E55" s="1">
        <v>2.78</v>
      </c>
      <c r="F55" s="1"/>
      <c r="G55" s="1" t="s">
        <v>30</v>
      </c>
      <c r="H55" s="1">
        <f t="shared" si="3"/>
        <v>16.944099999999999</v>
      </c>
    </row>
    <row r="56" spans="1:8" x14ac:dyDescent="0.3">
      <c r="A56" s="1"/>
      <c r="B56" s="4" t="s">
        <v>29</v>
      </c>
      <c r="C56" s="1">
        <v>1</v>
      </c>
      <c r="D56" s="1">
        <v>0.88</v>
      </c>
      <c r="E56" s="1">
        <v>0.59</v>
      </c>
      <c r="F56" s="1"/>
      <c r="G56" s="1" t="s">
        <v>30</v>
      </c>
      <c r="H56" s="1">
        <f t="shared" si="3"/>
        <v>0.51919999999999999</v>
      </c>
    </row>
    <row r="57" spans="1:8" x14ac:dyDescent="0.3">
      <c r="A57" s="1"/>
      <c r="B57" s="1"/>
      <c r="C57" s="1"/>
      <c r="D57" s="1"/>
      <c r="E57" s="1"/>
      <c r="F57" s="1"/>
      <c r="G57" s="1"/>
      <c r="H57" s="3">
        <f>H49+H50+H51+H52+H53-H54+H55-H56</f>
        <v>51.799650000000007</v>
      </c>
    </row>
    <row r="58" spans="1:8" x14ac:dyDescent="0.3">
      <c r="A58" s="1"/>
      <c r="B58" s="1"/>
      <c r="C58" s="1"/>
      <c r="D58" s="1"/>
      <c r="E58" s="1"/>
      <c r="F58" s="1"/>
      <c r="G58" s="9" t="s">
        <v>31</v>
      </c>
      <c r="H58" s="9">
        <f>H57*10.764</f>
        <v>557.57143260000009</v>
      </c>
    </row>
    <row r="59" spans="1:8" x14ac:dyDescent="0.3">
      <c r="A59" s="3">
        <v>6</v>
      </c>
      <c r="B59" s="9" t="s">
        <v>33</v>
      </c>
      <c r="C59" s="1"/>
      <c r="D59" s="1"/>
      <c r="E59" s="1"/>
      <c r="F59" s="1"/>
      <c r="G59" s="1"/>
      <c r="H59" s="1"/>
    </row>
    <row r="60" spans="1:8" x14ac:dyDescent="0.3">
      <c r="A60" s="1"/>
      <c r="B60" s="1" t="s">
        <v>61</v>
      </c>
      <c r="C60" s="1">
        <v>1</v>
      </c>
      <c r="D60" s="1">
        <v>1.93</v>
      </c>
      <c r="E60" s="1">
        <v>1.46</v>
      </c>
      <c r="F60" s="1"/>
      <c r="G60" s="1" t="s">
        <v>30</v>
      </c>
      <c r="H60" s="1">
        <f t="shared" ref="H60:H61" si="4">C60*D60*E60</f>
        <v>2.8177999999999996</v>
      </c>
    </row>
    <row r="61" spans="1:8" x14ac:dyDescent="0.3">
      <c r="A61" s="1"/>
      <c r="B61" s="1" t="s">
        <v>62</v>
      </c>
      <c r="C61" s="1">
        <v>2</v>
      </c>
      <c r="D61" s="1">
        <v>2.08</v>
      </c>
      <c r="E61" s="1">
        <v>1.17</v>
      </c>
      <c r="F61" s="1"/>
      <c r="G61" s="1" t="s">
        <v>30</v>
      </c>
      <c r="H61" s="1">
        <f t="shared" si="4"/>
        <v>4.8671999999999995</v>
      </c>
    </row>
    <row r="62" spans="1:8" x14ac:dyDescent="0.3">
      <c r="A62" s="1"/>
      <c r="B62" s="1"/>
      <c r="C62" s="1"/>
      <c r="D62" s="1"/>
      <c r="E62" s="1"/>
      <c r="F62" s="1"/>
      <c r="G62" s="1"/>
      <c r="H62" s="3">
        <f>SUM(H60:H61)</f>
        <v>7.6849999999999987</v>
      </c>
    </row>
    <row r="63" spans="1:8" x14ac:dyDescent="0.3">
      <c r="A63" s="1"/>
      <c r="B63" s="1"/>
      <c r="C63" s="1"/>
      <c r="D63" s="1"/>
      <c r="E63" s="1"/>
      <c r="F63" s="1"/>
      <c r="G63" s="9" t="s">
        <v>31</v>
      </c>
      <c r="H63" s="9">
        <f>H62*10.764</f>
        <v>82.721339999999984</v>
      </c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3">
        <v>7</v>
      </c>
      <c r="B65" s="9" t="s">
        <v>34</v>
      </c>
      <c r="C65" s="1"/>
      <c r="D65" s="1"/>
      <c r="E65" s="1"/>
      <c r="F65" s="1"/>
      <c r="G65" s="1"/>
      <c r="H65" s="1"/>
    </row>
    <row r="66" spans="1:8" x14ac:dyDescent="0.3">
      <c r="A66" s="1"/>
      <c r="B66" s="1" t="s">
        <v>63</v>
      </c>
      <c r="C66" s="1">
        <v>1</v>
      </c>
      <c r="D66" s="1">
        <v>3.89</v>
      </c>
      <c r="E66" s="1">
        <v>2.79</v>
      </c>
      <c r="F66" s="1"/>
      <c r="G66" s="1" t="s">
        <v>30</v>
      </c>
      <c r="H66" s="1">
        <f t="shared" ref="H66:H81" si="5">C66*D66*E66</f>
        <v>10.853100000000001</v>
      </c>
    </row>
    <row r="67" spans="1:8" x14ac:dyDescent="0.3">
      <c r="A67" s="1"/>
      <c r="B67" s="1" t="s">
        <v>64</v>
      </c>
      <c r="C67" s="1">
        <v>1</v>
      </c>
      <c r="D67" s="1">
        <v>2.4750000000000001</v>
      </c>
      <c r="E67" s="1">
        <v>1.64</v>
      </c>
      <c r="F67" s="1"/>
      <c r="G67" s="1" t="s">
        <v>30</v>
      </c>
      <c r="H67" s="1">
        <f t="shared" si="5"/>
        <v>4.0590000000000002</v>
      </c>
    </row>
    <row r="68" spans="1:8" x14ac:dyDescent="0.3">
      <c r="A68" s="1"/>
      <c r="B68" s="1" t="s">
        <v>65</v>
      </c>
      <c r="C68" s="1">
        <v>1</v>
      </c>
      <c r="D68" s="1">
        <v>3.2450000000000001</v>
      </c>
      <c r="E68" s="1">
        <v>2.65</v>
      </c>
      <c r="F68" s="1"/>
      <c r="G68" s="1" t="s">
        <v>30</v>
      </c>
      <c r="H68" s="1">
        <f t="shared" si="5"/>
        <v>8.5992499999999996</v>
      </c>
    </row>
    <row r="69" spans="1:8" x14ac:dyDescent="0.3">
      <c r="A69" s="1"/>
      <c r="B69" s="1" t="s">
        <v>66</v>
      </c>
      <c r="C69" s="1">
        <v>1</v>
      </c>
      <c r="D69" s="1">
        <v>2.7650000000000001</v>
      </c>
      <c r="E69" s="1">
        <v>6.99</v>
      </c>
      <c r="F69" s="1"/>
      <c r="G69" s="1" t="s">
        <v>30</v>
      </c>
      <c r="H69" s="1">
        <f t="shared" si="5"/>
        <v>19.327350000000003</v>
      </c>
    </row>
    <row r="70" spans="1:8" x14ac:dyDescent="0.3">
      <c r="A70" s="1"/>
      <c r="B70" s="1" t="s">
        <v>67</v>
      </c>
      <c r="C70" s="1">
        <v>1</v>
      </c>
      <c r="D70" s="1">
        <v>6.17</v>
      </c>
      <c r="E70" s="1">
        <v>3.67</v>
      </c>
      <c r="F70" s="1"/>
      <c r="G70" s="1" t="s">
        <v>30</v>
      </c>
      <c r="H70" s="1">
        <f t="shared" si="5"/>
        <v>22.643899999999999</v>
      </c>
    </row>
    <row r="71" spans="1:8" x14ac:dyDescent="0.3">
      <c r="A71" s="1"/>
      <c r="B71" s="1" t="s">
        <v>68</v>
      </c>
      <c r="C71" s="1">
        <v>1</v>
      </c>
      <c r="D71" s="1">
        <v>6</v>
      </c>
      <c r="E71" s="1">
        <v>2.6349999999999998</v>
      </c>
      <c r="F71" s="1"/>
      <c r="G71" s="1" t="s">
        <v>30</v>
      </c>
      <c r="H71" s="1">
        <f t="shared" si="5"/>
        <v>15.809999999999999</v>
      </c>
    </row>
    <row r="72" spans="1:8" x14ac:dyDescent="0.3">
      <c r="A72" s="1"/>
      <c r="B72" s="1" t="s">
        <v>69</v>
      </c>
      <c r="C72" s="1">
        <v>1</v>
      </c>
      <c r="D72" s="1">
        <v>4.8</v>
      </c>
      <c r="E72" s="1">
        <v>3.71</v>
      </c>
      <c r="F72" s="1"/>
      <c r="G72" s="1" t="s">
        <v>30</v>
      </c>
      <c r="H72" s="1">
        <f t="shared" si="5"/>
        <v>17.808</v>
      </c>
    </row>
    <row r="73" spans="1:8" x14ac:dyDescent="0.3">
      <c r="A73" s="1"/>
      <c r="B73" s="1" t="s">
        <v>70</v>
      </c>
      <c r="C73" s="1">
        <v>1</v>
      </c>
      <c r="D73" s="1">
        <v>11.725</v>
      </c>
      <c r="E73" s="1">
        <f>(3.91+3.935)/2</f>
        <v>3.9225000000000003</v>
      </c>
      <c r="F73" s="1"/>
      <c r="G73" s="1" t="s">
        <v>30</v>
      </c>
      <c r="H73" s="1">
        <f t="shared" si="5"/>
        <v>45.991312499999999</v>
      </c>
    </row>
    <row r="74" spans="1:8" x14ac:dyDescent="0.3">
      <c r="A74" s="1"/>
      <c r="B74" s="1" t="s">
        <v>71</v>
      </c>
      <c r="C74" s="1">
        <v>1</v>
      </c>
      <c r="D74" s="1">
        <v>3.33</v>
      </c>
      <c r="E74" s="1">
        <v>3.5350000000000001</v>
      </c>
      <c r="F74" s="1"/>
      <c r="G74" s="1" t="s">
        <v>30</v>
      </c>
      <c r="H74" s="1">
        <f t="shared" si="5"/>
        <v>11.771550000000001</v>
      </c>
    </row>
    <row r="75" spans="1:8" x14ac:dyDescent="0.3">
      <c r="A75" s="1"/>
      <c r="B75" s="1"/>
      <c r="C75" s="1">
        <v>1</v>
      </c>
      <c r="D75" s="1">
        <v>3.05</v>
      </c>
      <c r="E75" s="1">
        <v>4</v>
      </c>
      <c r="F75" s="1"/>
      <c r="G75" s="1" t="s">
        <v>30</v>
      </c>
      <c r="H75" s="1">
        <f t="shared" si="5"/>
        <v>12.2</v>
      </c>
    </row>
    <row r="76" spans="1:8" x14ac:dyDescent="0.3">
      <c r="A76" s="1"/>
      <c r="B76" s="1" t="s">
        <v>72</v>
      </c>
      <c r="C76" s="1">
        <v>1</v>
      </c>
      <c r="D76" s="1">
        <v>2.69</v>
      </c>
      <c r="E76" s="1">
        <v>0.86499999999999999</v>
      </c>
      <c r="F76" s="1"/>
      <c r="G76" s="1" t="s">
        <v>30</v>
      </c>
      <c r="H76" s="1">
        <f t="shared" si="5"/>
        <v>2.3268499999999999</v>
      </c>
    </row>
    <row r="77" spans="1:8" x14ac:dyDescent="0.3">
      <c r="A77" s="1"/>
      <c r="B77" s="1" t="s">
        <v>73</v>
      </c>
      <c r="C77" s="1">
        <v>1</v>
      </c>
      <c r="D77" s="1">
        <v>5.1749999999999998</v>
      </c>
      <c r="E77" s="1">
        <v>3.165</v>
      </c>
      <c r="F77" s="1"/>
      <c r="G77" s="1" t="s">
        <v>30</v>
      </c>
      <c r="H77" s="1">
        <f t="shared" si="5"/>
        <v>16.378875000000001</v>
      </c>
    </row>
    <row r="78" spans="1:8" x14ac:dyDescent="0.3">
      <c r="A78" s="1"/>
      <c r="B78" s="4" t="s">
        <v>76</v>
      </c>
      <c r="C78" s="1">
        <v>-1</v>
      </c>
      <c r="D78" s="1">
        <v>0.12</v>
      </c>
      <c r="E78" s="1">
        <v>2.2000000000000002</v>
      </c>
      <c r="F78" s="1"/>
      <c r="G78" s="1" t="s">
        <v>30</v>
      </c>
      <c r="H78" s="1">
        <f t="shared" si="5"/>
        <v>-0.26400000000000001</v>
      </c>
    </row>
    <row r="79" spans="1:8" x14ac:dyDescent="0.3">
      <c r="A79" s="1"/>
      <c r="B79" s="1" t="s">
        <v>74</v>
      </c>
      <c r="C79" s="1">
        <v>1</v>
      </c>
      <c r="D79" s="1">
        <v>1.5</v>
      </c>
      <c r="E79" s="1">
        <v>1.76</v>
      </c>
      <c r="F79" s="1"/>
      <c r="G79" s="1" t="s">
        <v>30</v>
      </c>
      <c r="H79" s="1">
        <f t="shared" si="5"/>
        <v>2.64</v>
      </c>
    </row>
    <row r="80" spans="1:8" x14ac:dyDescent="0.3">
      <c r="A80" s="1"/>
      <c r="B80" s="1" t="s">
        <v>72</v>
      </c>
      <c r="C80" s="1">
        <v>1</v>
      </c>
      <c r="D80" s="1">
        <v>1.66</v>
      </c>
      <c r="E80" s="1">
        <v>0.87</v>
      </c>
      <c r="F80" s="1"/>
      <c r="G80" s="1" t="s">
        <v>30</v>
      </c>
      <c r="H80" s="1">
        <f t="shared" si="5"/>
        <v>1.4441999999999999</v>
      </c>
    </row>
    <row r="81" spans="1:8" x14ac:dyDescent="0.3">
      <c r="A81" s="1"/>
      <c r="B81" s="1" t="s">
        <v>75</v>
      </c>
      <c r="C81" s="1">
        <v>1</v>
      </c>
      <c r="D81" s="1">
        <v>3.08</v>
      </c>
      <c r="E81" s="1">
        <v>3</v>
      </c>
      <c r="F81" s="1"/>
      <c r="G81" s="1" t="s">
        <v>30</v>
      </c>
      <c r="H81" s="1">
        <f t="shared" si="5"/>
        <v>9.24</v>
      </c>
    </row>
    <row r="82" spans="1:8" x14ac:dyDescent="0.3">
      <c r="A82" s="1"/>
      <c r="B82" s="1"/>
      <c r="C82" s="1"/>
      <c r="D82" s="1"/>
      <c r="E82" s="1"/>
      <c r="F82" s="1"/>
      <c r="G82" s="1"/>
      <c r="H82" s="3">
        <f>SUM(H66:H81)</f>
        <v>200.82938749999997</v>
      </c>
    </row>
    <row r="83" spans="1:8" x14ac:dyDescent="0.3">
      <c r="A83" s="1"/>
      <c r="B83" s="1"/>
      <c r="C83" s="1"/>
      <c r="D83" s="1"/>
      <c r="E83" s="1"/>
      <c r="F83" s="1"/>
      <c r="G83" s="9" t="s">
        <v>31</v>
      </c>
      <c r="H83" s="9">
        <f>H82*10.764</f>
        <v>2161.7275270499995</v>
      </c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3">
        <v>8</v>
      </c>
      <c r="B85" s="9" t="s">
        <v>35</v>
      </c>
      <c r="C85" s="1"/>
      <c r="D85" s="1"/>
      <c r="E85" s="1"/>
      <c r="F85" s="1"/>
      <c r="G85" s="1"/>
      <c r="H85" s="1"/>
    </row>
    <row r="86" spans="1:8" x14ac:dyDescent="0.3">
      <c r="A86" s="1"/>
      <c r="B86" s="1" t="s">
        <v>77</v>
      </c>
      <c r="C86" s="1">
        <v>1</v>
      </c>
      <c r="D86" s="1">
        <f>3.065+3.085+3+3.9+0.87+1.48+1.665+2.25+5.15+3.875+3+2.27+2.095+3.99+4.18+0.2+0.66+2.265+3.52+2.925+3.62+2.925+3.17+4.8+3.69+3.8+0.17+4.92+1.16+3.665+3.665+6.15+6.27+1.9+3.865+2.78+1.655+0.17+4.085+4.9+2.65+2.8+6.05+1.365+1.35</f>
        <v>135.02000000000004</v>
      </c>
      <c r="E86" s="1"/>
      <c r="F86" s="1"/>
      <c r="G86" s="1" t="s">
        <v>17</v>
      </c>
      <c r="H86" s="3">
        <f>C86*D86</f>
        <v>135.02000000000004</v>
      </c>
    </row>
    <row r="87" spans="1:8" x14ac:dyDescent="0.3">
      <c r="A87" s="1"/>
      <c r="B87" s="1"/>
      <c r="C87" s="1"/>
      <c r="D87" s="1"/>
      <c r="E87" s="1"/>
      <c r="F87" s="1"/>
      <c r="G87" s="9" t="s">
        <v>18</v>
      </c>
      <c r="H87" s="9">
        <f>H86*3.28</f>
        <v>442.86560000000009</v>
      </c>
    </row>
    <row r="88" spans="1:8" ht="15" thickBot="1" x14ac:dyDescent="0.35"/>
    <row r="89" spans="1:8" ht="16.2" thickBot="1" x14ac:dyDescent="0.35">
      <c r="A89" s="6" t="s">
        <v>0</v>
      </c>
      <c r="B89" s="7" t="s">
        <v>1</v>
      </c>
      <c r="C89" s="7" t="s">
        <v>2</v>
      </c>
      <c r="D89" s="7" t="s">
        <v>3</v>
      </c>
      <c r="E89" s="7" t="s">
        <v>4</v>
      </c>
      <c r="F89" s="7" t="s">
        <v>5</v>
      </c>
      <c r="G89" s="7" t="s">
        <v>6</v>
      </c>
      <c r="H89" s="8" t="s">
        <v>16</v>
      </c>
    </row>
    <row r="90" spans="1:8" x14ac:dyDescent="0.3">
      <c r="A90" s="5"/>
      <c r="B90" s="5"/>
      <c r="C90" s="5"/>
      <c r="D90" s="5"/>
      <c r="E90" s="5"/>
      <c r="F90" s="5"/>
      <c r="G90" s="5"/>
      <c r="H90" s="5"/>
    </row>
    <row r="91" spans="1:8" ht="15.6" x14ac:dyDescent="0.3">
      <c r="A91" s="2" t="s">
        <v>7</v>
      </c>
      <c r="B91" s="2" t="s">
        <v>36</v>
      </c>
      <c r="C91" s="1"/>
      <c r="D91" s="1"/>
      <c r="E91" s="1"/>
      <c r="F91" s="1"/>
      <c r="G91" s="1"/>
      <c r="H91" s="1"/>
    </row>
    <row r="92" spans="1:8" x14ac:dyDescent="0.3">
      <c r="A92" s="3">
        <v>1</v>
      </c>
      <c r="B92" s="9" t="s">
        <v>15</v>
      </c>
      <c r="C92" s="1"/>
      <c r="D92" s="1"/>
      <c r="E92" s="1"/>
      <c r="F92" s="1"/>
      <c r="G92" s="1"/>
      <c r="H92" s="1"/>
    </row>
    <row r="93" spans="1:8" x14ac:dyDescent="0.3">
      <c r="A93" s="1"/>
      <c r="B93" s="1" t="s">
        <v>37</v>
      </c>
      <c r="C93" s="1">
        <v>6</v>
      </c>
      <c r="D93" s="1">
        <v>0.57999999999999996</v>
      </c>
      <c r="E93" s="1"/>
      <c r="F93" s="1"/>
      <c r="G93" s="1" t="s">
        <v>17</v>
      </c>
      <c r="H93" s="1">
        <f>C93*D93</f>
        <v>3.4799999999999995</v>
      </c>
    </row>
    <row r="94" spans="1:8" x14ac:dyDescent="0.3">
      <c r="A94" s="1"/>
      <c r="B94" s="1"/>
      <c r="C94" s="1">
        <v>6</v>
      </c>
      <c r="D94" s="1">
        <v>1.18</v>
      </c>
      <c r="E94" s="1"/>
      <c r="F94" s="1"/>
      <c r="G94" s="1" t="s">
        <v>17</v>
      </c>
      <c r="H94" s="1">
        <f t="shared" ref="H94:H100" si="6">C94*D94</f>
        <v>7.08</v>
      </c>
    </row>
    <row r="95" spans="1:8" x14ac:dyDescent="0.3">
      <c r="A95" s="1"/>
      <c r="B95" s="1" t="s">
        <v>38</v>
      </c>
      <c r="C95" s="1">
        <v>1</v>
      </c>
      <c r="D95" s="1">
        <v>0.59</v>
      </c>
      <c r="E95" s="1"/>
      <c r="F95" s="1"/>
      <c r="G95" s="1" t="s">
        <v>17</v>
      </c>
      <c r="H95" s="1">
        <f t="shared" si="6"/>
        <v>0.59</v>
      </c>
    </row>
    <row r="96" spans="1:8" x14ac:dyDescent="0.3">
      <c r="A96" s="1"/>
      <c r="B96" s="1" t="s">
        <v>39</v>
      </c>
      <c r="C96" s="1">
        <v>1</v>
      </c>
      <c r="D96" s="1">
        <v>3.0150000000000001</v>
      </c>
      <c r="E96" s="1"/>
      <c r="F96" s="1"/>
      <c r="G96" s="1" t="s">
        <v>17</v>
      </c>
      <c r="H96" s="1">
        <f t="shared" si="6"/>
        <v>3.0150000000000001</v>
      </c>
    </row>
    <row r="97" spans="1:8" x14ac:dyDescent="0.3">
      <c r="A97" s="1"/>
      <c r="B97" s="1" t="s">
        <v>40</v>
      </c>
      <c r="C97" s="1">
        <v>1</v>
      </c>
      <c r="D97" s="1">
        <v>3.26</v>
      </c>
      <c r="E97" s="1"/>
      <c r="F97" s="1"/>
      <c r="G97" s="1" t="s">
        <v>17</v>
      </c>
      <c r="H97" s="1">
        <f t="shared" si="6"/>
        <v>3.26</v>
      </c>
    </row>
    <row r="98" spans="1:8" x14ac:dyDescent="0.3">
      <c r="A98" s="1"/>
      <c r="B98" s="1" t="s">
        <v>41</v>
      </c>
      <c r="C98" s="1">
        <v>1</v>
      </c>
      <c r="D98" s="1">
        <v>2.38</v>
      </c>
      <c r="E98" s="1"/>
      <c r="F98" s="1"/>
      <c r="G98" s="1" t="s">
        <v>17</v>
      </c>
      <c r="H98" s="1">
        <f t="shared" si="6"/>
        <v>2.38</v>
      </c>
    </row>
    <row r="99" spans="1:8" x14ac:dyDescent="0.3">
      <c r="A99" s="1"/>
      <c r="B99" s="1" t="s">
        <v>42</v>
      </c>
      <c r="C99" s="1">
        <v>1</v>
      </c>
      <c r="D99" s="1">
        <v>2.19</v>
      </c>
      <c r="E99" s="1"/>
      <c r="F99" s="1"/>
      <c r="G99" s="1" t="s">
        <v>17</v>
      </c>
      <c r="H99" s="1">
        <f t="shared" si="6"/>
        <v>2.19</v>
      </c>
    </row>
    <row r="100" spans="1:8" x14ac:dyDescent="0.3">
      <c r="A100" s="1"/>
      <c r="B100" s="1" t="s">
        <v>43</v>
      </c>
      <c r="C100" s="1">
        <v>1</v>
      </c>
      <c r="D100" s="1">
        <v>3.375</v>
      </c>
      <c r="E100" s="1"/>
      <c r="F100" s="1"/>
      <c r="G100" s="1" t="s">
        <v>17</v>
      </c>
      <c r="H100" s="1">
        <f t="shared" si="6"/>
        <v>3.375</v>
      </c>
    </row>
    <row r="101" spans="1:8" x14ac:dyDescent="0.3">
      <c r="A101" s="1"/>
      <c r="B101" s="1"/>
      <c r="C101" s="1"/>
      <c r="D101" s="1"/>
      <c r="E101" s="1"/>
      <c r="F101" s="1"/>
      <c r="G101" s="1"/>
      <c r="H101" s="3">
        <f>SUM(H93:H100)</f>
        <v>25.369999999999997</v>
      </c>
    </row>
    <row r="102" spans="1:8" x14ac:dyDescent="0.3">
      <c r="A102" s="1"/>
      <c r="B102" s="1"/>
      <c r="C102" s="1"/>
      <c r="D102" s="1"/>
      <c r="E102" s="1"/>
      <c r="F102" s="1"/>
      <c r="G102" s="9" t="s">
        <v>18</v>
      </c>
      <c r="H102" s="9">
        <f>H101*3.28</f>
        <v>83.213599999999985</v>
      </c>
    </row>
    <row r="103" spans="1:8" x14ac:dyDescent="0.3">
      <c r="A103" s="1"/>
      <c r="B103" s="1"/>
      <c r="C103" s="1"/>
      <c r="D103" s="1"/>
      <c r="E103" s="1"/>
      <c r="F103" s="1"/>
      <c r="G103" s="1"/>
      <c r="H103" s="1"/>
    </row>
    <row r="104" spans="1:8" x14ac:dyDescent="0.3">
      <c r="A104" s="3">
        <v>2</v>
      </c>
      <c r="B104" s="9" t="s">
        <v>19</v>
      </c>
      <c r="C104" s="1"/>
      <c r="D104" s="1"/>
      <c r="E104" s="1"/>
      <c r="F104" s="1"/>
      <c r="G104" s="1"/>
      <c r="H104" s="1"/>
    </row>
    <row r="105" spans="1:8" x14ac:dyDescent="0.3">
      <c r="A105" s="1"/>
      <c r="B105" s="1" t="s">
        <v>20</v>
      </c>
      <c r="C105" s="1">
        <v>3</v>
      </c>
      <c r="D105" s="1">
        <v>0.67</v>
      </c>
      <c r="E105" s="1"/>
      <c r="F105" s="1"/>
      <c r="G105" s="1" t="s">
        <v>17</v>
      </c>
      <c r="H105" s="1">
        <f t="shared" ref="H105:H106" si="7">C105*D105</f>
        <v>2.0100000000000002</v>
      </c>
    </row>
    <row r="106" spans="1:8" x14ac:dyDescent="0.3">
      <c r="A106" s="1"/>
      <c r="B106" s="1"/>
      <c r="C106" s="1">
        <v>6</v>
      </c>
      <c r="D106" s="1">
        <v>2.44</v>
      </c>
      <c r="E106" s="1"/>
      <c r="F106" s="1"/>
      <c r="G106" s="1" t="s">
        <v>17</v>
      </c>
      <c r="H106" s="1">
        <f t="shared" si="7"/>
        <v>14.64</v>
      </c>
    </row>
    <row r="107" spans="1:8" x14ac:dyDescent="0.3">
      <c r="A107" s="1"/>
      <c r="B107" s="1"/>
      <c r="C107" s="1"/>
      <c r="D107" s="1"/>
      <c r="E107" s="1"/>
      <c r="F107" s="1"/>
      <c r="G107" s="1"/>
      <c r="H107" s="3">
        <f>SUM(H105:H106)</f>
        <v>16.650000000000002</v>
      </c>
    </row>
    <row r="108" spans="1:8" x14ac:dyDescent="0.3">
      <c r="A108" s="1"/>
      <c r="B108" s="1"/>
      <c r="C108" s="1"/>
      <c r="D108" s="1"/>
      <c r="E108" s="1"/>
      <c r="F108" s="1"/>
      <c r="G108" s="9" t="s">
        <v>18</v>
      </c>
      <c r="H108" s="9">
        <f>H107*3.28</f>
        <v>54.612000000000002</v>
      </c>
    </row>
    <row r="109" spans="1:8" x14ac:dyDescent="0.3">
      <c r="A109" s="1"/>
      <c r="B109" s="1"/>
      <c r="C109" s="1"/>
      <c r="D109" s="1"/>
      <c r="E109" s="1"/>
      <c r="F109" s="1"/>
      <c r="G109" s="1"/>
      <c r="H109" s="1"/>
    </row>
    <row r="110" spans="1:8" x14ac:dyDescent="0.3">
      <c r="A110" s="3">
        <v>3</v>
      </c>
      <c r="B110" s="9" t="s">
        <v>27</v>
      </c>
      <c r="C110" s="1">
        <v>1</v>
      </c>
      <c r="D110" s="1">
        <f>H101</f>
        <v>25.369999999999997</v>
      </c>
      <c r="E110" s="1"/>
      <c r="F110" s="1"/>
      <c r="G110" s="1" t="s">
        <v>17</v>
      </c>
      <c r="H110" s="1">
        <f t="shared" ref="H110:H111" si="8">C110*D110</f>
        <v>25.369999999999997</v>
      </c>
    </row>
    <row r="111" spans="1:8" x14ac:dyDescent="0.3">
      <c r="A111" s="1"/>
      <c r="B111" s="1"/>
      <c r="C111" s="1">
        <v>1</v>
      </c>
      <c r="D111" s="1">
        <f>H107</f>
        <v>16.650000000000002</v>
      </c>
      <c r="E111" s="1"/>
      <c r="F111" s="1"/>
      <c r="G111" s="1" t="s">
        <v>17</v>
      </c>
      <c r="H111" s="1">
        <f t="shared" si="8"/>
        <v>16.650000000000002</v>
      </c>
    </row>
    <row r="112" spans="1:8" x14ac:dyDescent="0.3">
      <c r="A112" s="1"/>
      <c r="B112" s="1"/>
      <c r="C112" s="1"/>
      <c r="D112" s="1"/>
      <c r="E112" s="1"/>
      <c r="F112" s="1"/>
      <c r="G112" s="1"/>
      <c r="H112" s="3">
        <f>SUM(H110:H111)</f>
        <v>42.019999999999996</v>
      </c>
    </row>
    <row r="113" spans="1:11" x14ac:dyDescent="0.3">
      <c r="A113" s="1"/>
      <c r="B113" s="1"/>
      <c r="C113" s="1"/>
      <c r="D113" s="1"/>
      <c r="E113" s="1"/>
      <c r="F113" s="1"/>
      <c r="G113" s="9" t="s">
        <v>18</v>
      </c>
      <c r="H113" s="9">
        <f>H112*3.28</f>
        <v>137.82559999999998</v>
      </c>
    </row>
    <row r="114" spans="1:11" x14ac:dyDescent="0.3">
      <c r="A114" s="1"/>
      <c r="B114" s="1"/>
      <c r="C114" s="1"/>
      <c r="D114" s="1"/>
      <c r="E114" s="1"/>
      <c r="F114" s="1"/>
      <c r="G114" s="1"/>
      <c r="H114" s="1"/>
    </row>
    <row r="115" spans="1:11" x14ac:dyDescent="0.3">
      <c r="A115" s="3">
        <v>4</v>
      </c>
      <c r="B115" s="9" t="s">
        <v>28</v>
      </c>
      <c r="C115" s="1"/>
      <c r="D115" s="1"/>
      <c r="E115" s="1"/>
      <c r="F115" s="1"/>
      <c r="G115" s="1"/>
      <c r="H115" s="3"/>
    </row>
    <row r="116" spans="1:11" x14ac:dyDescent="0.3">
      <c r="A116" s="3"/>
      <c r="B116" s="1" t="s">
        <v>44</v>
      </c>
      <c r="C116" s="1">
        <v>1</v>
      </c>
      <c r="D116" s="1">
        <v>3.34</v>
      </c>
      <c r="E116" s="1"/>
      <c r="F116" s="1"/>
      <c r="G116" s="1" t="s">
        <v>17</v>
      </c>
      <c r="H116" s="10">
        <f t="shared" ref="H116:H117" si="9">C116*D116</f>
        <v>3.34</v>
      </c>
    </row>
    <row r="117" spans="1:11" x14ac:dyDescent="0.3">
      <c r="A117" s="3"/>
      <c r="B117" s="1" t="s">
        <v>46</v>
      </c>
      <c r="C117" s="1">
        <v>1</v>
      </c>
      <c r="D117" s="1">
        <v>1.76</v>
      </c>
      <c r="E117" s="1"/>
      <c r="F117" s="1"/>
      <c r="G117" s="1" t="s">
        <v>17</v>
      </c>
      <c r="H117" s="10">
        <f t="shared" si="9"/>
        <v>1.76</v>
      </c>
    </row>
    <row r="118" spans="1:11" x14ac:dyDescent="0.3">
      <c r="J118">
        <f>H121*3.28</f>
        <v>9.84</v>
      </c>
      <c r="K118">
        <f>1750*3</f>
        <v>5250</v>
      </c>
    </row>
    <row r="119" spans="1:11" x14ac:dyDescent="0.3">
      <c r="A119" s="3"/>
      <c r="B119" s="1"/>
      <c r="C119" s="1"/>
      <c r="D119" s="1"/>
      <c r="E119" s="1"/>
      <c r="F119" s="1"/>
      <c r="G119" s="1"/>
      <c r="H119" s="3">
        <f ca="1">SUM(H116:H121)</f>
        <v>8.1</v>
      </c>
    </row>
    <row r="120" spans="1:11" x14ac:dyDescent="0.3">
      <c r="A120" s="1"/>
      <c r="B120" s="1"/>
      <c r="C120" s="1"/>
      <c r="D120" s="1"/>
      <c r="E120" s="1"/>
      <c r="F120" s="1"/>
      <c r="G120" s="9" t="s">
        <v>18</v>
      </c>
      <c r="H120" s="9">
        <f ca="1">H119*3.28</f>
        <v>26.567999999999998</v>
      </c>
    </row>
    <row r="121" spans="1:11" x14ac:dyDescent="0.3">
      <c r="A121" s="3"/>
      <c r="B121" s="1" t="s">
        <v>45</v>
      </c>
      <c r="C121" s="1">
        <v>3</v>
      </c>
      <c r="D121" s="1">
        <v>1</v>
      </c>
      <c r="E121" s="1"/>
      <c r="F121" s="1"/>
      <c r="G121" s="1" t="s">
        <v>17</v>
      </c>
      <c r="H121" s="10">
        <f>C121*D121</f>
        <v>3</v>
      </c>
    </row>
    <row r="122" spans="1:11" x14ac:dyDescent="0.3">
      <c r="A122" s="3">
        <v>5</v>
      </c>
      <c r="B122" s="9" t="s">
        <v>32</v>
      </c>
      <c r="C122" s="1"/>
      <c r="D122" s="1"/>
      <c r="E122" s="1"/>
      <c r="F122" s="1"/>
      <c r="G122" s="1"/>
      <c r="H122" s="1"/>
    </row>
    <row r="123" spans="1:11" x14ac:dyDescent="0.3">
      <c r="A123" s="1"/>
      <c r="B123" s="1" t="s">
        <v>78</v>
      </c>
      <c r="C123" s="1">
        <v>1</v>
      </c>
      <c r="D123" s="1">
        <v>3.35</v>
      </c>
      <c r="E123" s="1">
        <v>0.6</v>
      </c>
      <c r="F123" s="1"/>
      <c r="G123" s="1" t="s">
        <v>30</v>
      </c>
      <c r="H123" s="1">
        <f t="shared" ref="H123:H134" si="10">C123*D123*E123</f>
        <v>2.0099999999999998</v>
      </c>
    </row>
    <row r="124" spans="1:11" x14ac:dyDescent="0.3">
      <c r="A124" s="1"/>
      <c r="B124" s="1" t="s">
        <v>79</v>
      </c>
      <c r="C124" s="1">
        <v>1</v>
      </c>
      <c r="D124" s="1">
        <v>1.8</v>
      </c>
      <c r="E124" s="1">
        <v>0.6</v>
      </c>
      <c r="F124" s="1"/>
      <c r="G124" s="1" t="s">
        <v>30</v>
      </c>
      <c r="H124" s="1">
        <f t="shared" si="10"/>
        <v>1.08</v>
      </c>
    </row>
    <row r="125" spans="1:11" x14ac:dyDescent="0.3">
      <c r="A125" s="1"/>
      <c r="B125" s="1" t="s">
        <v>80</v>
      </c>
      <c r="C125" s="1">
        <v>1</v>
      </c>
      <c r="D125" s="1">
        <v>1.5</v>
      </c>
      <c r="E125" s="1">
        <v>1.44</v>
      </c>
      <c r="F125" s="1"/>
      <c r="G125" s="1" t="s">
        <v>30</v>
      </c>
      <c r="H125" s="1">
        <f t="shared" ref="H125:H130" si="11">C125*D125*E125</f>
        <v>2.16</v>
      </c>
    </row>
    <row r="126" spans="1:11" x14ac:dyDescent="0.3">
      <c r="A126" s="1"/>
      <c r="B126" s="1"/>
      <c r="C126" s="1">
        <v>1</v>
      </c>
      <c r="D126" s="1">
        <v>1.6</v>
      </c>
      <c r="E126" s="1">
        <v>1.08</v>
      </c>
      <c r="F126" s="1"/>
      <c r="G126" s="1" t="s">
        <v>30</v>
      </c>
      <c r="H126" s="1">
        <f t="shared" si="11"/>
        <v>1.7280000000000002</v>
      </c>
    </row>
    <row r="127" spans="1:11" x14ac:dyDescent="0.3">
      <c r="A127" s="1"/>
      <c r="B127" s="1"/>
      <c r="C127" s="1">
        <v>1</v>
      </c>
      <c r="D127" s="1">
        <v>0.64</v>
      </c>
      <c r="E127" s="1">
        <v>0.245</v>
      </c>
      <c r="F127" s="1"/>
      <c r="G127" s="1" t="s">
        <v>30</v>
      </c>
      <c r="H127" s="1">
        <f t="shared" si="11"/>
        <v>0.15679999999999999</v>
      </c>
    </row>
    <row r="128" spans="1:11" x14ac:dyDescent="0.3">
      <c r="A128" s="1"/>
      <c r="B128" s="1" t="s">
        <v>81</v>
      </c>
      <c r="C128" s="1">
        <v>1</v>
      </c>
      <c r="D128" s="1">
        <v>1.89</v>
      </c>
      <c r="E128" s="1">
        <v>0.6</v>
      </c>
      <c r="F128" s="1"/>
      <c r="G128" s="1" t="s">
        <v>30</v>
      </c>
      <c r="H128" s="1">
        <f t="shared" si="11"/>
        <v>1.1339999999999999</v>
      </c>
    </row>
    <row r="129" spans="1:8" x14ac:dyDescent="0.3">
      <c r="A129" s="1"/>
      <c r="B129" s="1" t="s">
        <v>48</v>
      </c>
      <c r="C129" s="1">
        <v>1</v>
      </c>
      <c r="D129" s="1">
        <v>7.25</v>
      </c>
      <c r="E129" s="1">
        <v>2.36</v>
      </c>
      <c r="F129" s="1"/>
      <c r="G129" s="1" t="s">
        <v>30</v>
      </c>
      <c r="H129" s="1">
        <f t="shared" si="11"/>
        <v>17.11</v>
      </c>
    </row>
    <row r="130" spans="1:8" x14ac:dyDescent="0.3">
      <c r="A130" s="1"/>
      <c r="B130" s="4" t="s">
        <v>29</v>
      </c>
      <c r="C130" s="1">
        <v>-1</v>
      </c>
      <c r="D130" s="1">
        <v>0.56000000000000005</v>
      </c>
      <c r="E130" s="1">
        <v>1.2</v>
      </c>
      <c r="F130" s="1"/>
      <c r="G130" s="1" t="s">
        <v>30</v>
      </c>
      <c r="H130" s="1">
        <f t="shared" si="11"/>
        <v>-0.67200000000000004</v>
      </c>
    </row>
    <row r="131" spans="1:8" x14ac:dyDescent="0.3">
      <c r="A131" s="1"/>
      <c r="B131" s="1" t="s">
        <v>49</v>
      </c>
      <c r="C131" s="1">
        <v>1</v>
      </c>
      <c r="D131" s="1">
        <v>6.16</v>
      </c>
      <c r="E131" s="1">
        <v>2.34</v>
      </c>
      <c r="F131" s="1"/>
      <c r="G131" s="1" t="s">
        <v>30</v>
      </c>
      <c r="H131" s="1">
        <f t="shared" si="10"/>
        <v>14.414399999999999</v>
      </c>
    </row>
    <row r="132" spans="1:8" x14ac:dyDescent="0.3">
      <c r="A132" s="1"/>
      <c r="B132" s="4" t="s">
        <v>29</v>
      </c>
      <c r="C132" s="1">
        <v>-1</v>
      </c>
      <c r="D132" s="1">
        <v>0.56000000000000005</v>
      </c>
      <c r="E132" s="1">
        <v>1.2</v>
      </c>
      <c r="F132" s="1"/>
      <c r="G132" s="1" t="s">
        <v>30</v>
      </c>
      <c r="H132" s="1">
        <f t="shared" si="10"/>
        <v>-0.67200000000000004</v>
      </c>
    </row>
    <row r="133" spans="1:8" x14ac:dyDescent="0.3">
      <c r="A133" s="1"/>
      <c r="B133" s="1" t="s">
        <v>50</v>
      </c>
      <c r="C133" s="1">
        <v>1</v>
      </c>
      <c r="D133" s="1">
        <f>1.33+1.43+3.45</f>
        <v>6.21</v>
      </c>
      <c r="E133" s="1">
        <v>2.38</v>
      </c>
      <c r="F133" s="1"/>
      <c r="G133" s="1" t="s">
        <v>30</v>
      </c>
      <c r="H133" s="1">
        <f t="shared" si="10"/>
        <v>14.7798</v>
      </c>
    </row>
    <row r="134" spans="1:8" x14ac:dyDescent="0.3">
      <c r="A134" s="1"/>
      <c r="B134" s="4" t="s">
        <v>29</v>
      </c>
      <c r="C134" s="1">
        <v>-1</v>
      </c>
      <c r="D134" s="1">
        <v>0.62</v>
      </c>
      <c r="E134" s="1">
        <v>1.2</v>
      </c>
      <c r="F134" s="1"/>
      <c r="G134" s="1" t="s">
        <v>30</v>
      </c>
      <c r="H134" s="1">
        <f t="shared" si="10"/>
        <v>-0.74399999999999999</v>
      </c>
    </row>
    <row r="135" spans="1:8" x14ac:dyDescent="0.3">
      <c r="A135" s="1"/>
      <c r="B135" s="1"/>
      <c r="C135" s="1"/>
      <c r="D135" s="1"/>
      <c r="E135" s="1"/>
      <c r="F135" s="1"/>
      <c r="G135" s="1"/>
      <c r="H135" s="3">
        <f>SUM(H123:H134)</f>
        <v>52.484999999999999</v>
      </c>
    </row>
    <row r="136" spans="1:8" x14ac:dyDescent="0.3">
      <c r="A136" s="1"/>
      <c r="B136" s="1"/>
      <c r="C136" s="1"/>
      <c r="D136" s="1"/>
      <c r="E136" s="1"/>
      <c r="F136" s="1"/>
      <c r="G136" s="9" t="s">
        <v>31</v>
      </c>
      <c r="H136" s="9">
        <f>H135*10.764</f>
        <v>564.94853999999998</v>
      </c>
    </row>
    <row r="137" spans="1:8" x14ac:dyDescent="0.3">
      <c r="A137" s="3">
        <v>6</v>
      </c>
      <c r="B137" s="9" t="s">
        <v>33</v>
      </c>
      <c r="C137" s="1"/>
      <c r="D137" s="1"/>
      <c r="E137" s="1"/>
      <c r="F137" s="1"/>
      <c r="G137" s="1"/>
      <c r="H137" s="1"/>
    </row>
    <row r="138" spans="1:8" x14ac:dyDescent="0.3">
      <c r="A138" s="1"/>
      <c r="B138" s="1" t="s">
        <v>82</v>
      </c>
      <c r="C138" s="1">
        <v>1</v>
      </c>
      <c r="D138" s="1">
        <v>1.915</v>
      </c>
      <c r="E138" s="1">
        <v>1.605</v>
      </c>
      <c r="F138" s="1"/>
      <c r="G138" s="1" t="s">
        <v>30</v>
      </c>
      <c r="H138" s="1">
        <f t="shared" ref="H138:H139" si="12">C138*D138*E138</f>
        <v>3.0735749999999999</v>
      </c>
    </row>
    <row r="139" spans="1:8" x14ac:dyDescent="0.3">
      <c r="A139" s="1"/>
      <c r="B139" s="1"/>
      <c r="C139" s="1">
        <v>1</v>
      </c>
      <c r="D139" s="1">
        <v>0.7</v>
      </c>
      <c r="E139" s="1">
        <v>0.54</v>
      </c>
      <c r="F139" s="1"/>
      <c r="G139" s="1" t="s">
        <v>30</v>
      </c>
      <c r="H139" s="1">
        <f t="shared" si="12"/>
        <v>0.378</v>
      </c>
    </row>
    <row r="140" spans="1:8" x14ac:dyDescent="0.3">
      <c r="A140" s="1"/>
      <c r="B140" s="1" t="s">
        <v>83</v>
      </c>
      <c r="C140" s="1">
        <v>1</v>
      </c>
      <c r="D140" s="1">
        <v>1.3</v>
      </c>
      <c r="E140" s="1">
        <v>2.16</v>
      </c>
      <c r="F140" s="1"/>
      <c r="G140" s="1" t="s">
        <v>30</v>
      </c>
      <c r="H140" s="1">
        <f t="shared" ref="H140:H141" si="13">C140*D140*E140</f>
        <v>2.8080000000000003</v>
      </c>
    </row>
    <row r="141" spans="1:8" x14ac:dyDescent="0.3">
      <c r="A141" s="1"/>
      <c r="B141" s="1"/>
      <c r="C141" s="1">
        <v>1</v>
      </c>
      <c r="D141" s="1">
        <v>0.68</v>
      </c>
      <c r="E141" s="1">
        <v>0.09</v>
      </c>
      <c r="F141" s="1"/>
      <c r="G141" s="1" t="s">
        <v>30</v>
      </c>
      <c r="H141" s="1">
        <f t="shared" si="13"/>
        <v>6.1200000000000004E-2</v>
      </c>
    </row>
    <row r="142" spans="1:8" x14ac:dyDescent="0.3">
      <c r="A142" s="1"/>
      <c r="B142" s="1" t="s">
        <v>84</v>
      </c>
      <c r="C142" s="1">
        <v>1</v>
      </c>
      <c r="D142" s="1">
        <v>1.42</v>
      </c>
      <c r="E142" s="1">
        <v>2.04</v>
      </c>
      <c r="F142" s="1"/>
      <c r="G142" s="1" t="s">
        <v>30</v>
      </c>
      <c r="H142" s="1">
        <f t="shared" ref="H142" si="14">C142*D142*E142</f>
        <v>2.8967999999999998</v>
      </c>
    </row>
    <row r="143" spans="1:8" x14ac:dyDescent="0.3">
      <c r="A143" s="1"/>
      <c r="B143" s="1"/>
      <c r="C143" s="1"/>
      <c r="D143" s="1"/>
      <c r="E143" s="1"/>
      <c r="F143" s="1"/>
      <c r="G143" s="1"/>
      <c r="H143" s="3">
        <f>SUM(H138:H142)</f>
        <v>9.2175750000000001</v>
      </c>
    </row>
    <row r="144" spans="1:8" x14ac:dyDescent="0.3">
      <c r="A144" s="1"/>
      <c r="B144" s="1"/>
      <c r="C144" s="1"/>
      <c r="D144" s="1"/>
      <c r="E144" s="1"/>
      <c r="F144" s="1"/>
      <c r="G144" s="9" t="s">
        <v>31</v>
      </c>
      <c r="H144" s="9">
        <f>H143*10.764</f>
        <v>99.217977300000001</v>
      </c>
    </row>
    <row r="145" spans="1:8" x14ac:dyDescent="0.3">
      <c r="A145" s="1"/>
      <c r="B145" s="1"/>
      <c r="C145" s="1"/>
      <c r="D145" s="1"/>
      <c r="E145" s="1"/>
      <c r="F145" s="1"/>
      <c r="G145" s="1"/>
      <c r="H145" s="1"/>
    </row>
    <row r="146" spans="1:8" x14ac:dyDescent="0.3">
      <c r="A146" s="3">
        <v>7</v>
      </c>
      <c r="B146" s="9" t="s">
        <v>34</v>
      </c>
      <c r="C146" s="1"/>
      <c r="D146" s="1"/>
      <c r="E146" s="1"/>
      <c r="F146" s="1"/>
      <c r="G146" s="1"/>
      <c r="H146" s="1"/>
    </row>
    <row r="147" spans="1:8" x14ac:dyDescent="0.3">
      <c r="A147" s="1"/>
      <c r="B147" s="1" t="s">
        <v>85</v>
      </c>
      <c r="C147" s="1">
        <v>1</v>
      </c>
      <c r="D147" s="1">
        <v>1.4</v>
      </c>
      <c r="E147" s="1">
        <v>3.55</v>
      </c>
      <c r="F147" s="1"/>
      <c r="G147" s="1" t="s">
        <v>30</v>
      </c>
      <c r="H147" s="1">
        <f t="shared" ref="H147:H165" si="15">C147*D147*E147</f>
        <v>4.97</v>
      </c>
    </row>
    <row r="148" spans="1:8" x14ac:dyDescent="0.3">
      <c r="A148" s="1"/>
      <c r="B148" s="1" t="s">
        <v>86</v>
      </c>
      <c r="C148" s="1">
        <v>1</v>
      </c>
      <c r="D148" s="1">
        <v>1.32</v>
      </c>
      <c r="E148" s="1">
        <v>2.335</v>
      </c>
      <c r="F148" s="1"/>
      <c r="G148" s="1" t="s">
        <v>30</v>
      </c>
      <c r="H148" s="1">
        <f t="shared" si="15"/>
        <v>3.0822000000000003</v>
      </c>
    </row>
    <row r="149" spans="1:8" x14ac:dyDescent="0.3">
      <c r="A149" s="1"/>
      <c r="B149" s="1" t="s">
        <v>87</v>
      </c>
      <c r="C149" s="1">
        <v>1</v>
      </c>
      <c r="D149" s="1">
        <v>1.1599999999999999</v>
      </c>
      <c r="E149" s="1">
        <v>3.2</v>
      </c>
      <c r="F149" s="1"/>
      <c r="G149" s="1" t="s">
        <v>30</v>
      </c>
      <c r="H149" s="1">
        <f t="shared" si="15"/>
        <v>3.7119999999999997</v>
      </c>
    </row>
    <row r="150" spans="1:8" x14ac:dyDescent="0.3">
      <c r="A150" s="1"/>
      <c r="B150" s="1" t="s">
        <v>88</v>
      </c>
      <c r="C150" s="1">
        <v>1</v>
      </c>
      <c r="D150" s="1">
        <v>1.1599999999999999</v>
      </c>
      <c r="E150" s="1">
        <v>3.5</v>
      </c>
      <c r="F150" s="1"/>
      <c r="G150" s="1" t="s">
        <v>30</v>
      </c>
      <c r="H150" s="1">
        <f t="shared" si="15"/>
        <v>4.0599999999999996</v>
      </c>
    </row>
    <row r="151" spans="1:8" x14ac:dyDescent="0.3">
      <c r="A151" s="1"/>
      <c r="B151" s="1" t="s">
        <v>89</v>
      </c>
      <c r="C151" s="1">
        <v>1</v>
      </c>
      <c r="D151" s="1">
        <v>3.27</v>
      </c>
      <c r="E151" s="1">
        <v>3.17</v>
      </c>
      <c r="F151" s="1"/>
      <c r="G151" s="1" t="s">
        <v>30</v>
      </c>
      <c r="H151" s="1">
        <f t="shared" si="15"/>
        <v>10.3659</v>
      </c>
    </row>
    <row r="152" spans="1:8" x14ac:dyDescent="0.3">
      <c r="A152" s="1"/>
      <c r="B152" s="1" t="s">
        <v>29</v>
      </c>
      <c r="C152" s="1">
        <v>-1</v>
      </c>
      <c r="D152" s="1">
        <v>0.23499999999999999</v>
      </c>
      <c r="E152" s="1">
        <v>1.33</v>
      </c>
      <c r="F152" s="1"/>
      <c r="G152" s="1" t="s">
        <v>30</v>
      </c>
      <c r="H152" s="1">
        <f t="shared" si="15"/>
        <v>-0.31254999999999999</v>
      </c>
    </row>
    <row r="153" spans="1:8" x14ac:dyDescent="0.3">
      <c r="A153" s="1"/>
      <c r="B153" s="1"/>
      <c r="C153" s="1">
        <v>1</v>
      </c>
      <c r="D153" s="1">
        <v>0.85499999999999998</v>
      </c>
      <c r="E153" s="1">
        <v>1.4650000000000001</v>
      </c>
      <c r="F153" s="1"/>
      <c r="G153" s="1" t="s">
        <v>30</v>
      </c>
      <c r="H153" s="1">
        <f t="shared" si="15"/>
        <v>1.252575</v>
      </c>
    </row>
    <row r="154" spans="1:8" x14ac:dyDescent="0.3">
      <c r="A154" s="1"/>
      <c r="B154" s="1" t="s">
        <v>90</v>
      </c>
      <c r="C154" s="1">
        <v>1</v>
      </c>
      <c r="D154" s="1">
        <v>3.48</v>
      </c>
      <c r="E154" s="1">
        <v>3.75</v>
      </c>
      <c r="F154" s="1"/>
      <c r="G154" s="1" t="s">
        <v>30</v>
      </c>
      <c r="H154" s="1">
        <f t="shared" si="15"/>
        <v>13.05</v>
      </c>
    </row>
    <row r="155" spans="1:8" x14ac:dyDescent="0.3">
      <c r="A155" s="1"/>
      <c r="B155" s="1"/>
      <c r="C155" s="1">
        <v>1</v>
      </c>
      <c r="D155" s="1">
        <v>0.75</v>
      </c>
      <c r="E155" s="1">
        <v>2.3199999999999998</v>
      </c>
      <c r="F155" s="1"/>
      <c r="G155" s="1" t="s">
        <v>30</v>
      </c>
      <c r="H155" s="1">
        <f t="shared" si="15"/>
        <v>1.7399999999999998</v>
      </c>
    </row>
    <row r="156" spans="1:8" x14ac:dyDescent="0.3">
      <c r="A156" s="1"/>
      <c r="B156" s="1" t="s">
        <v>91</v>
      </c>
      <c r="C156" s="1">
        <v>4</v>
      </c>
      <c r="D156" s="1">
        <v>0.85</v>
      </c>
      <c r="E156" s="1">
        <v>0.19</v>
      </c>
      <c r="F156" s="1"/>
      <c r="G156" s="1" t="s">
        <v>30</v>
      </c>
      <c r="H156" s="1">
        <f t="shared" si="15"/>
        <v>0.64600000000000002</v>
      </c>
    </row>
    <row r="157" spans="1:8" x14ac:dyDescent="0.3">
      <c r="A157" s="1"/>
      <c r="B157" s="1"/>
      <c r="C157" s="1">
        <v>1</v>
      </c>
      <c r="D157" s="1">
        <v>1.02</v>
      </c>
      <c r="E157" s="1">
        <v>4.45</v>
      </c>
      <c r="F157" s="1"/>
      <c r="G157" s="1" t="s">
        <v>30</v>
      </c>
      <c r="H157" s="1">
        <f t="shared" si="15"/>
        <v>4.5390000000000006</v>
      </c>
    </row>
    <row r="158" spans="1:8" x14ac:dyDescent="0.3">
      <c r="A158" s="1"/>
      <c r="B158" s="1"/>
      <c r="C158" s="1">
        <v>1</v>
      </c>
      <c r="D158" s="1">
        <v>1.0649999999999999</v>
      </c>
      <c r="E158" s="1">
        <v>0.44</v>
      </c>
      <c r="F158" s="1"/>
      <c r="G158" s="1" t="s">
        <v>30</v>
      </c>
      <c r="H158" s="1">
        <f t="shared" si="15"/>
        <v>0.46859999999999996</v>
      </c>
    </row>
    <row r="159" spans="1:8" x14ac:dyDescent="0.3">
      <c r="A159" s="1"/>
      <c r="B159" s="1" t="s">
        <v>92</v>
      </c>
      <c r="C159" s="1">
        <v>1</v>
      </c>
      <c r="D159" s="1">
        <v>3.2349999999999999</v>
      </c>
      <c r="E159" s="1">
        <v>2.95</v>
      </c>
      <c r="F159" s="1"/>
      <c r="G159" s="1" t="s">
        <v>30</v>
      </c>
      <c r="H159" s="1">
        <f t="shared" si="15"/>
        <v>9.5432500000000005</v>
      </c>
    </row>
    <row r="160" spans="1:8" x14ac:dyDescent="0.3">
      <c r="A160" s="1"/>
      <c r="B160" s="1" t="s">
        <v>93</v>
      </c>
      <c r="C160" s="1">
        <v>1</v>
      </c>
      <c r="D160" s="1">
        <v>2.3450000000000002</v>
      </c>
      <c r="E160" s="1">
        <v>5.82</v>
      </c>
      <c r="F160" s="1"/>
      <c r="G160" s="1" t="s">
        <v>30</v>
      </c>
      <c r="H160" s="1">
        <f t="shared" si="15"/>
        <v>13.647900000000002</v>
      </c>
    </row>
    <row r="161" spans="1:8" x14ac:dyDescent="0.3">
      <c r="A161" s="1"/>
      <c r="B161" s="1" t="s">
        <v>94</v>
      </c>
      <c r="C161" s="1">
        <v>1</v>
      </c>
      <c r="D161" s="1">
        <v>5.67</v>
      </c>
      <c r="E161" s="1">
        <v>3.55</v>
      </c>
      <c r="F161" s="1"/>
      <c r="G161" s="1" t="s">
        <v>30</v>
      </c>
      <c r="H161" s="1">
        <f t="shared" si="15"/>
        <v>20.128499999999999</v>
      </c>
    </row>
    <row r="162" spans="1:8" x14ac:dyDescent="0.3">
      <c r="A162" s="1"/>
      <c r="B162" s="1"/>
      <c r="C162" s="1">
        <v>1</v>
      </c>
      <c r="D162" s="1">
        <v>0.18</v>
      </c>
      <c r="E162" s="1">
        <v>3.05</v>
      </c>
      <c r="F162" s="1"/>
      <c r="G162" s="1" t="s">
        <v>30</v>
      </c>
      <c r="H162" s="1">
        <f t="shared" si="15"/>
        <v>0.54899999999999993</v>
      </c>
    </row>
    <row r="163" spans="1:8" x14ac:dyDescent="0.3">
      <c r="A163" s="1"/>
      <c r="B163" s="1" t="s">
        <v>95</v>
      </c>
      <c r="C163" s="1">
        <v>1</v>
      </c>
      <c r="D163" s="1">
        <v>1.71</v>
      </c>
      <c r="E163" s="1">
        <v>1.76</v>
      </c>
      <c r="F163" s="1"/>
      <c r="G163" s="1" t="s">
        <v>30</v>
      </c>
      <c r="H163" s="1">
        <f t="shared" si="15"/>
        <v>3.0095999999999998</v>
      </c>
    </row>
    <row r="164" spans="1:8" x14ac:dyDescent="0.3">
      <c r="A164" s="1"/>
      <c r="B164" s="4" t="s">
        <v>29</v>
      </c>
      <c r="C164" s="1">
        <v>-1</v>
      </c>
      <c r="D164" s="1">
        <v>0.27500000000000002</v>
      </c>
      <c r="E164" s="1">
        <v>0.17</v>
      </c>
      <c r="F164" s="1"/>
      <c r="G164" s="1" t="s">
        <v>30</v>
      </c>
      <c r="H164" s="1">
        <f t="shared" si="15"/>
        <v>-4.6750000000000007E-2</v>
      </c>
    </row>
    <row r="165" spans="1:8" x14ac:dyDescent="0.3">
      <c r="A165" s="1"/>
      <c r="B165" s="4" t="s">
        <v>29</v>
      </c>
      <c r="C165" s="1">
        <v>-1</v>
      </c>
      <c r="D165" s="1">
        <v>0.6</v>
      </c>
      <c r="E165" s="1">
        <v>0.23</v>
      </c>
      <c r="F165" s="1"/>
      <c r="G165" s="1" t="s">
        <v>30</v>
      </c>
      <c r="H165" s="1">
        <f t="shared" si="15"/>
        <v>-0.13800000000000001</v>
      </c>
    </row>
    <row r="166" spans="1:8" x14ac:dyDescent="0.3">
      <c r="A166" s="1"/>
      <c r="B166" s="1"/>
      <c r="C166" s="1"/>
      <c r="D166" s="1"/>
      <c r="E166" s="1"/>
      <c r="F166" s="1"/>
      <c r="G166" s="1"/>
      <c r="H166" s="3">
        <f>SUM(H147:H165)</f>
        <v>94.26722500000001</v>
      </c>
    </row>
    <row r="167" spans="1:8" x14ac:dyDescent="0.3">
      <c r="A167" s="1"/>
      <c r="B167" s="1"/>
      <c r="C167" s="1"/>
      <c r="D167" s="1"/>
      <c r="E167" s="1"/>
      <c r="F167" s="1"/>
      <c r="G167" s="9" t="s">
        <v>31</v>
      </c>
      <c r="H167" s="9">
        <f>H166*10.764</f>
        <v>1014.6924099</v>
      </c>
    </row>
    <row r="168" spans="1:8" x14ac:dyDescent="0.3">
      <c r="A168" s="1"/>
      <c r="B168" s="1"/>
      <c r="C168" s="1"/>
      <c r="D168" s="1"/>
      <c r="E168" s="1"/>
      <c r="F168" s="1"/>
      <c r="G168" s="1"/>
      <c r="H168" s="1"/>
    </row>
    <row r="169" spans="1:8" x14ac:dyDescent="0.3">
      <c r="A169" s="3">
        <v>8</v>
      </c>
      <c r="B169" s="9" t="s">
        <v>35</v>
      </c>
      <c r="C169" s="1"/>
      <c r="D169" s="1"/>
      <c r="E169" s="1"/>
      <c r="F169" s="1"/>
      <c r="G169" s="1"/>
      <c r="H169" s="1"/>
    </row>
    <row r="170" spans="1:8" x14ac:dyDescent="0.3">
      <c r="A170" s="1"/>
      <c r="B170" s="1" t="s">
        <v>90</v>
      </c>
      <c r="C170" s="1">
        <v>1</v>
      </c>
      <c r="D170" s="1">
        <f>1.03+1.62+4.45+0.6+0.6+3.7</f>
        <v>12</v>
      </c>
      <c r="E170" s="1"/>
      <c r="F170" s="1"/>
      <c r="G170" s="1" t="s">
        <v>17</v>
      </c>
      <c r="H170" s="10">
        <f>C170*D170</f>
        <v>12</v>
      </c>
    </row>
    <row r="171" spans="1:8" x14ac:dyDescent="0.3">
      <c r="A171" s="1"/>
      <c r="B171" s="1" t="s">
        <v>96</v>
      </c>
      <c r="C171" s="1">
        <v>1</v>
      </c>
      <c r="D171" s="1">
        <f>5.1+1.6</f>
        <v>6.6999999999999993</v>
      </c>
      <c r="E171" s="1"/>
      <c r="F171" s="1"/>
      <c r="G171" s="1" t="s">
        <v>17</v>
      </c>
      <c r="H171" s="10">
        <f>C171*D171</f>
        <v>6.6999999999999993</v>
      </c>
    </row>
    <row r="172" spans="1:8" x14ac:dyDescent="0.3">
      <c r="A172" s="1"/>
      <c r="B172" s="11" t="s">
        <v>89</v>
      </c>
      <c r="C172" s="1">
        <v>1</v>
      </c>
      <c r="D172" s="1">
        <f>1.45+2.29+3.945+4.13</f>
        <v>11.815000000000001</v>
      </c>
      <c r="E172" s="1"/>
      <c r="F172" s="1"/>
      <c r="G172" s="1" t="s">
        <v>17</v>
      </c>
      <c r="H172" s="10">
        <f t="shared" ref="H172:H178" si="16">C172*D172</f>
        <v>11.815000000000001</v>
      </c>
    </row>
    <row r="173" spans="1:8" x14ac:dyDescent="0.3">
      <c r="A173" s="1"/>
      <c r="B173" s="11" t="s">
        <v>97</v>
      </c>
      <c r="C173" s="1">
        <v>1</v>
      </c>
      <c r="D173" s="1">
        <f>4.665+1.48</f>
        <v>6.1449999999999996</v>
      </c>
      <c r="E173" s="1"/>
      <c r="F173" s="1"/>
      <c r="G173" s="1" t="s">
        <v>17</v>
      </c>
      <c r="H173" s="10">
        <f t="shared" si="16"/>
        <v>6.1449999999999996</v>
      </c>
    </row>
    <row r="174" spans="1:8" x14ac:dyDescent="0.3">
      <c r="A174" s="1"/>
      <c r="B174" s="11" t="s">
        <v>91</v>
      </c>
      <c r="C174" s="1">
        <v>1</v>
      </c>
      <c r="D174" s="1">
        <f>2.475+2.565+2.3+0.2</f>
        <v>7.54</v>
      </c>
      <c r="E174" s="1"/>
      <c r="F174" s="1"/>
      <c r="G174" s="1" t="s">
        <v>17</v>
      </c>
      <c r="H174" s="10">
        <f t="shared" si="16"/>
        <v>7.54</v>
      </c>
    </row>
    <row r="175" spans="1:8" x14ac:dyDescent="0.3">
      <c r="A175" s="1"/>
      <c r="B175" s="11" t="s">
        <v>92</v>
      </c>
      <c r="C175" s="1">
        <v>1</v>
      </c>
      <c r="D175" s="1">
        <f>7.5+4.03</f>
        <v>11.530000000000001</v>
      </c>
      <c r="E175" s="1"/>
      <c r="F175" s="1"/>
      <c r="G175" s="1" t="s">
        <v>17</v>
      </c>
      <c r="H175" s="10">
        <f t="shared" si="16"/>
        <v>11.530000000000001</v>
      </c>
    </row>
    <row r="176" spans="1:8" x14ac:dyDescent="0.3">
      <c r="A176" s="1"/>
      <c r="B176" s="11" t="s">
        <v>98</v>
      </c>
      <c r="C176" s="1">
        <v>1</v>
      </c>
      <c r="D176" s="1">
        <f>3.14+6.05+0.8+3.67+6.96+0.6+1.8</f>
        <v>23.020000000000003</v>
      </c>
      <c r="E176" s="1"/>
      <c r="F176" s="1"/>
      <c r="G176" s="1" t="s">
        <v>17</v>
      </c>
      <c r="H176" s="10">
        <f t="shared" si="16"/>
        <v>23.020000000000003</v>
      </c>
    </row>
    <row r="177" spans="1:8" x14ac:dyDescent="0.3">
      <c r="A177" s="1"/>
      <c r="B177" s="11" t="s">
        <v>99</v>
      </c>
      <c r="C177" s="1">
        <v>1</v>
      </c>
      <c r="D177" s="1">
        <f>1.39+1.39+3.65</f>
        <v>6.43</v>
      </c>
      <c r="E177" s="1"/>
      <c r="F177" s="1"/>
      <c r="G177" s="1" t="s">
        <v>17</v>
      </c>
      <c r="H177" s="10">
        <f t="shared" si="16"/>
        <v>6.43</v>
      </c>
    </row>
    <row r="178" spans="1:8" x14ac:dyDescent="0.3">
      <c r="A178" s="1"/>
      <c r="B178" s="11" t="s">
        <v>100</v>
      </c>
      <c r="C178" s="1">
        <v>1</v>
      </c>
      <c r="D178" s="1">
        <f>2.015+1.47+0.6</f>
        <v>4.085</v>
      </c>
      <c r="E178" s="1"/>
      <c r="F178" s="1"/>
      <c r="G178" s="1" t="s">
        <v>17</v>
      </c>
      <c r="H178" s="10">
        <f t="shared" si="16"/>
        <v>4.085</v>
      </c>
    </row>
    <row r="179" spans="1:8" x14ac:dyDescent="0.3">
      <c r="A179" s="1"/>
      <c r="B179" s="1"/>
      <c r="C179" s="1"/>
      <c r="D179" s="1"/>
      <c r="E179" s="1"/>
      <c r="F179" s="1"/>
      <c r="G179" s="1"/>
      <c r="H179" s="3">
        <f>SUM(H170:H178)</f>
        <v>89.265000000000001</v>
      </c>
    </row>
    <row r="180" spans="1:8" x14ac:dyDescent="0.3">
      <c r="A180" s="1"/>
      <c r="B180" s="1"/>
      <c r="C180" s="1"/>
      <c r="D180" s="1"/>
      <c r="E180" s="1"/>
      <c r="F180" s="1"/>
      <c r="G180" s="9" t="s">
        <v>18</v>
      </c>
      <c r="H180" s="9">
        <f>H179*3.28</f>
        <v>292.78919999999999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tabSelected="1" workbookViewId="0">
      <selection activeCell="J12" sqref="J12"/>
    </sheetView>
  </sheetViews>
  <sheetFormatPr defaultRowHeight="14.4" x14ac:dyDescent="0.3"/>
  <cols>
    <col min="2" max="2" width="33" customWidth="1"/>
    <col min="3" max="3" width="13.5546875" customWidth="1"/>
    <col min="5" max="5" width="13.88671875" customWidth="1"/>
    <col min="6" max="6" width="15.21875" customWidth="1"/>
  </cols>
  <sheetData>
    <row r="2" spans="1:6" ht="18" x14ac:dyDescent="0.35">
      <c r="A2" s="18" t="s">
        <v>52</v>
      </c>
      <c r="B2" s="18"/>
      <c r="C2" s="18"/>
      <c r="D2" s="18"/>
      <c r="E2" s="18"/>
      <c r="F2" s="18"/>
    </row>
    <row r="3" spans="1:6" ht="15" thickBot="1" x14ac:dyDescent="0.35"/>
    <row r="4" spans="1:6" ht="16.2" thickBot="1" x14ac:dyDescent="0.35">
      <c r="A4" s="14" t="s">
        <v>0</v>
      </c>
      <c r="B4" s="15" t="s">
        <v>53</v>
      </c>
      <c r="C4" s="15" t="s">
        <v>16</v>
      </c>
      <c r="D4" s="15" t="s">
        <v>6</v>
      </c>
      <c r="E4" s="15" t="s">
        <v>54</v>
      </c>
      <c r="F4" s="16" t="s">
        <v>55</v>
      </c>
    </row>
    <row r="5" spans="1:6" x14ac:dyDescent="0.3">
      <c r="A5" s="5"/>
      <c r="B5" s="5"/>
      <c r="C5" s="5"/>
      <c r="D5" s="5"/>
      <c r="E5" s="5"/>
      <c r="F5" s="5"/>
    </row>
    <row r="6" spans="1:6" x14ac:dyDescent="0.3">
      <c r="A6" s="12">
        <v>1</v>
      </c>
      <c r="B6" s="1" t="str">
        <f>Sheet1!B6</f>
        <v>Window Granite Frame</v>
      </c>
      <c r="C6" s="13">
        <f>Sheet1!H24+Sheet1!H102</f>
        <v>296.97120000000007</v>
      </c>
      <c r="D6" s="12" t="str">
        <f>Sheet1!G24</f>
        <v>R.ft</v>
      </c>
      <c r="E6" s="1">
        <v>60</v>
      </c>
      <c r="F6" s="1">
        <f>C6*E6</f>
        <v>17818.272000000004</v>
      </c>
    </row>
    <row r="7" spans="1:6" x14ac:dyDescent="0.3">
      <c r="A7" s="12">
        <v>2</v>
      </c>
      <c r="B7" s="1" t="str">
        <f>Sheet1!B26</f>
        <v>Door Granite Frame</v>
      </c>
      <c r="C7" s="13">
        <f>Sheet1!H39+Sheet1!H108</f>
        <v>166.24679999999998</v>
      </c>
      <c r="D7" s="12" t="str">
        <f>Sheet1!G39</f>
        <v>R.ft</v>
      </c>
      <c r="E7" s="1">
        <v>135</v>
      </c>
      <c r="F7" s="1">
        <f t="shared" ref="F7:F18" si="0">C7*E7</f>
        <v>22443.317999999996</v>
      </c>
    </row>
    <row r="8" spans="1:6" x14ac:dyDescent="0.3">
      <c r="A8" s="12">
        <v>3</v>
      </c>
      <c r="B8" s="1" t="s">
        <v>109</v>
      </c>
      <c r="C8" s="13">
        <v>3</v>
      </c>
      <c r="D8" s="12" t="s">
        <v>110</v>
      </c>
      <c r="E8" s="1">
        <v>1200</v>
      </c>
      <c r="F8" s="1">
        <f t="shared" si="0"/>
        <v>3600</v>
      </c>
    </row>
    <row r="9" spans="1:6" x14ac:dyDescent="0.3">
      <c r="A9" s="12">
        <v>4</v>
      </c>
      <c r="B9" s="1" t="str">
        <f>Sheet1!B46</f>
        <v>Kitchen Platform</v>
      </c>
      <c r="C9" s="13">
        <v>34.700000000000003</v>
      </c>
      <c r="D9" s="12" t="str">
        <f>Sheet1!G47</f>
        <v>R.ft</v>
      </c>
      <c r="E9" s="1">
        <v>600</v>
      </c>
      <c r="F9" s="1">
        <f t="shared" si="0"/>
        <v>20820</v>
      </c>
    </row>
    <row r="10" spans="1:6" x14ac:dyDescent="0.3">
      <c r="A10" s="12">
        <v>5</v>
      </c>
      <c r="B10" s="1" t="s">
        <v>101</v>
      </c>
      <c r="C10" s="13">
        <f>Sheet1!H58</f>
        <v>557.57143260000009</v>
      </c>
      <c r="D10" s="12" t="str">
        <f>Sheet1!G58</f>
        <v>Sq.ft</v>
      </c>
      <c r="E10" s="1">
        <v>32</v>
      </c>
      <c r="F10" s="1">
        <f t="shared" si="0"/>
        <v>17842.285843200003</v>
      </c>
    </row>
    <row r="11" spans="1:6" x14ac:dyDescent="0.3">
      <c r="A11" s="12">
        <v>6</v>
      </c>
      <c r="B11" s="1" t="s">
        <v>102</v>
      </c>
      <c r="C11" s="13">
        <f>Sheet1!H136</f>
        <v>564.94853999999998</v>
      </c>
      <c r="D11" s="12" t="s">
        <v>31</v>
      </c>
      <c r="E11" s="1">
        <v>32</v>
      </c>
      <c r="F11" s="1">
        <f t="shared" si="0"/>
        <v>18078.353279999999</v>
      </c>
    </row>
    <row r="12" spans="1:6" x14ac:dyDescent="0.3">
      <c r="A12" s="12">
        <v>7</v>
      </c>
      <c r="B12" s="1" t="s">
        <v>104</v>
      </c>
      <c r="C12" s="13">
        <f>Sheet1!H144</f>
        <v>99.217977300000001</v>
      </c>
      <c r="D12" s="12" t="s">
        <v>31</v>
      </c>
      <c r="E12" s="1">
        <v>30</v>
      </c>
      <c r="F12" s="1">
        <f t="shared" si="0"/>
        <v>2976.539319</v>
      </c>
    </row>
    <row r="13" spans="1:6" x14ac:dyDescent="0.3">
      <c r="A13" s="12">
        <v>8</v>
      </c>
      <c r="B13" s="1" t="s">
        <v>103</v>
      </c>
      <c r="C13" s="13">
        <f>Sheet1!H63</f>
        <v>82.721339999999984</v>
      </c>
      <c r="D13" s="12" t="str">
        <f>Sheet1!G63</f>
        <v>Sq.ft</v>
      </c>
      <c r="E13" s="1">
        <v>25</v>
      </c>
      <c r="F13" s="1">
        <f t="shared" si="0"/>
        <v>2068.0334999999995</v>
      </c>
    </row>
    <row r="14" spans="1:6" x14ac:dyDescent="0.3">
      <c r="A14" s="12">
        <v>9</v>
      </c>
      <c r="B14" s="1" t="s">
        <v>105</v>
      </c>
      <c r="C14" s="13">
        <f>Sheet1!H83</f>
        <v>2161.7275270499995</v>
      </c>
      <c r="D14" s="12" t="str">
        <f>Sheet1!G83</f>
        <v>Sq.ft</v>
      </c>
      <c r="E14" s="1">
        <v>30</v>
      </c>
      <c r="F14" s="1">
        <f t="shared" si="0"/>
        <v>64851.825811499984</v>
      </c>
    </row>
    <row r="15" spans="1:6" x14ac:dyDescent="0.3">
      <c r="A15" s="12">
        <v>10</v>
      </c>
      <c r="B15" s="1" t="s">
        <v>106</v>
      </c>
      <c r="C15" s="13">
        <f>Sheet1!H167</f>
        <v>1014.6924099</v>
      </c>
      <c r="D15" s="12" t="s">
        <v>31</v>
      </c>
      <c r="E15" s="1">
        <v>30</v>
      </c>
      <c r="F15" s="1">
        <f t="shared" si="0"/>
        <v>30440.772297</v>
      </c>
    </row>
    <row r="16" spans="1:6" x14ac:dyDescent="0.3">
      <c r="A16" s="12">
        <v>11</v>
      </c>
      <c r="B16" s="1" t="s">
        <v>107</v>
      </c>
      <c r="C16" s="13">
        <f>Sheet1!H87</f>
        <v>442.86560000000009</v>
      </c>
      <c r="D16" s="12" t="str">
        <f>Sheet1!G87</f>
        <v>R.ft</v>
      </c>
      <c r="E16" s="1">
        <v>30</v>
      </c>
      <c r="F16" s="1">
        <f t="shared" si="0"/>
        <v>13285.968000000003</v>
      </c>
    </row>
    <row r="17" spans="1:6" x14ac:dyDescent="0.3">
      <c r="A17" s="12">
        <v>12</v>
      </c>
      <c r="B17" s="1" t="s">
        <v>108</v>
      </c>
      <c r="C17" s="13">
        <f>Sheet1!H180</f>
        <v>292.78919999999999</v>
      </c>
      <c r="D17" s="12" t="s">
        <v>18</v>
      </c>
      <c r="E17" s="1">
        <v>30</v>
      </c>
      <c r="F17" s="1">
        <f t="shared" si="0"/>
        <v>8783.6759999999995</v>
      </c>
    </row>
    <row r="18" spans="1:6" x14ac:dyDescent="0.3">
      <c r="A18" s="12">
        <v>13</v>
      </c>
      <c r="B18" s="1" t="s">
        <v>47</v>
      </c>
      <c r="C18" s="13">
        <v>7</v>
      </c>
      <c r="D18" s="12" t="s">
        <v>2</v>
      </c>
      <c r="E18" s="1">
        <v>1200</v>
      </c>
      <c r="F18" s="1">
        <f t="shared" si="0"/>
        <v>8400</v>
      </c>
    </row>
    <row r="19" spans="1:6" ht="22.2" customHeight="1" x14ac:dyDescent="0.3">
      <c r="D19" s="17" t="s">
        <v>56</v>
      </c>
      <c r="E19" s="17"/>
      <c r="F19" s="17">
        <f>SUM(F6:F18)</f>
        <v>231409.04405069997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2026-02-21T13:32:33Z</dcterms:modified>
</cp:coreProperties>
</file>