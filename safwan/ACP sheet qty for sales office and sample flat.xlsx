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2" i="2" l="1"/>
  <c r="G41" i="2"/>
  <c r="G39" i="2"/>
  <c r="G38" i="2"/>
  <c r="G37" i="2"/>
  <c r="G35" i="2"/>
  <c r="G34" i="2"/>
  <c r="G33" i="2"/>
  <c r="G32" i="2"/>
  <c r="G31" i="2"/>
  <c r="G30" i="2"/>
  <c r="G29" i="2"/>
  <c r="G28" i="2"/>
  <c r="G27" i="2"/>
  <c r="G25" i="2"/>
  <c r="G24" i="2"/>
  <c r="G23" i="2"/>
  <c r="E20" i="2"/>
  <c r="G22" i="2"/>
  <c r="G21" i="2"/>
  <c r="G20" i="2"/>
  <c r="G19" i="2"/>
  <c r="G18" i="2"/>
  <c r="G17" i="2"/>
  <c r="G15" i="2"/>
  <c r="G14" i="2"/>
  <c r="G13" i="2"/>
  <c r="G11" i="2" l="1"/>
  <c r="G12" i="2"/>
  <c r="G10" i="2"/>
  <c r="G9" i="2"/>
  <c r="G8" i="2"/>
  <c r="G7" i="2"/>
</calcChain>
</file>

<file path=xl/sharedStrings.xml><?xml version="1.0" encoding="utf-8"?>
<sst xmlns="http://schemas.openxmlformats.org/spreadsheetml/2006/main" count="53" uniqueCount="40">
  <si>
    <t>Sr.No.</t>
  </si>
  <si>
    <t>Description</t>
  </si>
  <si>
    <t>Door Size</t>
  </si>
  <si>
    <t>Requirement Quantity</t>
  </si>
  <si>
    <t>A</t>
  </si>
  <si>
    <t>SAMPLE FLAT</t>
  </si>
  <si>
    <t>Door Thikness</t>
  </si>
  <si>
    <t>Main Door</t>
  </si>
  <si>
    <t xml:space="preserve">35mm </t>
  </si>
  <si>
    <t>45" X 88"</t>
  </si>
  <si>
    <t>Bedroom Door</t>
  </si>
  <si>
    <t>32mm</t>
  </si>
  <si>
    <t>32" X 89"</t>
  </si>
  <si>
    <t>M. Bedroom Door1</t>
  </si>
  <si>
    <t>31" X 89"</t>
  </si>
  <si>
    <t>M. Bedroom Door2</t>
  </si>
  <si>
    <t>Toilet Door</t>
  </si>
  <si>
    <t>27" X 92"</t>
  </si>
  <si>
    <t>SALES OFFICE</t>
  </si>
  <si>
    <t>CEO Cabin 1</t>
  </si>
  <si>
    <t>34" X 115"</t>
  </si>
  <si>
    <t>27" X 108"</t>
  </si>
  <si>
    <t>27" X 110"</t>
  </si>
  <si>
    <t>Common Toilet Door</t>
  </si>
  <si>
    <t>Cabin 1 Toilet Door</t>
  </si>
  <si>
    <t>B</t>
  </si>
  <si>
    <t>UNITET DEVELOPERS</t>
  </si>
  <si>
    <t>DOOR SHUTTER MATERIAL QUANTITY SHEET</t>
  </si>
  <si>
    <t>ACP QUANTITY SHEET</t>
  </si>
  <si>
    <t>No.</t>
  </si>
  <si>
    <t>L</t>
  </si>
  <si>
    <t>H</t>
  </si>
  <si>
    <t xml:space="preserve">ACP MEASUREMENT </t>
  </si>
  <si>
    <t>Quantity in Sq.mtr</t>
  </si>
  <si>
    <t>EAST SIDE (PANTRY SIDE)</t>
  </si>
  <si>
    <t>SOUTH-EAST SIDE (SALES ROOM SIDE)</t>
  </si>
  <si>
    <t>SOUTH SIDE (SALES ENTRANCE SIDE)</t>
  </si>
  <si>
    <t>SOUTH-WEST SIDE (SAMPLE FLAT SIDE)</t>
  </si>
  <si>
    <t xml:space="preserve">TOTAL ACP QUANTITY IN SQ.MTR = </t>
  </si>
  <si>
    <t xml:space="preserve">TOTAL ACP QUANTITY IN SQ.FT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</si>
</sst>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9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43" fontId="0" fillId="0" borderId="1" xfId="1" applyFont="1" applyBorder="1"/>
    <xf numFmtId="43" fontId="0" fillId="0" borderId="1" xfId="1" applyFont="1" applyBorder="1" applyAlignment="1">
      <alignment horizontal="center" vertical="center"/>
    </xf>
    <xf numFmtId="43" fontId="1" fillId="2" borderId="1" xfId="1" applyFont="1" applyFill="1" applyBorder="1"/>
    <xf numFmtId="43" fontId="0" fillId="2" borderId="1" xfId="1" applyFont="1" applyFill="1" applyBorder="1"/>
    <xf numFmtId="43" fontId="1" fillId="3" borderId="1" xfId="1" applyFont="1" applyFill="1" applyBorder="1"/>
    <xf numFmtId="43" fontId="0" fillId="3" borderId="1" xfId="1" applyFont="1" applyFill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sqref="A1:XFD1048576"/>
    </sheetView>
  </sheetViews>
  <sheetFormatPr defaultRowHeight="14.4" x14ac:dyDescent="0.3"/>
  <cols>
    <col min="1" max="1" width="6.109375" bestFit="1" customWidth="1"/>
    <col min="2" max="2" width="33.77734375" customWidth="1"/>
    <col min="3" max="3" width="12.44140625" bestFit="1" customWidth="1"/>
    <col min="4" max="4" width="13.77734375" customWidth="1"/>
    <col min="5" max="5" width="13.109375" customWidth="1"/>
  </cols>
  <sheetData>
    <row r="1" spans="1:5" ht="15.6" x14ac:dyDescent="0.3">
      <c r="A1" s="26" t="s">
        <v>26</v>
      </c>
      <c r="B1" s="26"/>
      <c r="C1" s="26"/>
      <c r="D1" s="26"/>
      <c r="E1" s="26"/>
    </row>
    <row r="2" spans="1:5" x14ac:dyDescent="0.3">
      <c r="A2" s="27" t="s">
        <v>27</v>
      </c>
      <c r="B2" s="27"/>
      <c r="C2" s="27"/>
      <c r="D2" s="27"/>
      <c r="E2" s="27"/>
    </row>
    <row r="3" spans="1:5" ht="15" thickBot="1" x14ac:dyDescent="0.35"/>
    <row r="4" spans="1:5" ht="29.4" thickBot="1" x14ac:dyDescent="0.35">
      <c r="A4" s="3" t="s">
        <v>0</v>
      </c>
      <c r="B4" s="4" t="s">
        <v>1</v>
      </c>
      <c r="C4" s="4" t="s">
        <v>6</v>
      </c>
      <c r="D4" s="4" t="s">
        <v>2</v>
      </c>
      <c r="E4" s="5" t="s">
        <v>3</v>
      </c>
    </row>
    <row r="5" spans="1:5" x14ac:dyDescent="0.3">
      <c r="A5" s="6"/>
      <c r="B5" s="7"/>
      <c r="C5" s="7"/>
      <c r="D5" s="7"/>
      <c r="E5" s="8"/>
    </row>
    <row r="6" spans="1:5" x14ac:dyDescent="0.3">
      <c r="A6" s="9" t="s">
        <v>4</v>
      </c>
      <c r="B6" s="2" t="s">
        <v>5</v>
      </c>
      <c r="C6" s="1"/>
      <c r="D6" s="1"/>
      <c r="E6" s="10"/>
    </row>
    <row r="7" spans="1:5" x14ac:dyDescent="0.3">
      <c r="A7" s="9"/>
      <c r="B7" s="1" t="s">
        <v>7</v>
      </c>
      <c r="C7" s="1" t="s">
        <v>8</v>
      </c>
      <c r="D7" s="1" t="s">
        <v>9</v>
      </c>
      <c r="E7" s="15">
        <v>1</v>
      </c>
    </row>
    <row r="8" spans="1:5" x14ac:dyDescent="0.3">
      <c r="A8" s="9"/>
      <c r="B8" s="1" t="s">
        <v>10</v>
      </c>
      <c r="C8" s="1" t="s">
        <v>11</v>
      </c>
      <c r="D8" s="1" t="s">
        <v>12</v>
      </c>
      <c r="E8" s="15">
        <v>1</v>
      </c>
    </row>
    <row r="9" spans="1:5" x14ac:dyDescent="0.3">
      <c r="A9" s="9"/>
      <c r="B9" s="1" t="s">
        <v>13</v>
      </c>
      <c r="C9" s="1" t="s">
        <v>11</v>
      </c>
      <c r="D9" s="1" t="s">
        <v>14</v>
      </c>
      <c r="E9" s="15">
        <v>1</v>
      </c>
    </row>
    <row r="10" spans="1:5" x14ac:dyDescent="0.3">
      <c r="A10" s="9"/>
      <c r="B10" s="1" t="s">
        <v>15</v>
      </c>
      <c r="C10" s="1" t="s">
        <v>11</v>
      </c>
      <c r="D10" s="1" t="s">
        <v>12</v>
      </c>
      <c r="E10" s="15">
        <v>1</v>
      </c>
    </row>
    <row r="11" spans="1:5" x14ac:dyDescent="0.3">
      <c r="A11" s="9"/>
      <c r="B11" s="1" t="s">
        <v>16</v>
      </c>
      <c r="C11" s="1" t="s">
        <v>11</v>
      </c>
      <c r="D11" s="1" t="s">
        <v>17</v>
      </c>
      <c r="E11" s="15">
        <v>2</v>
      </c>
    </row>
    <row r="12" spans="1:5" x14ac:dyDescent="0.3">
      <c r="A12" s="9"/>
      <c r="B12" s="1"/>
      <c r="C12" s="1"/>
      <c r="D12" s="1"/>
      <c r="E12" s="15"/>
    </row>
    <row r="13" spans="1:5" x14ac:dyDescent="0.3">
      <c r="A13" s="9" t="s">
        <v>25</v>
      </c>
      <c r="B13" s="2" t="s">
        <v>18</v>
      </c>
      <c r="C13" s="1"/>
      <c r="D13" s="1"/>
      <c r="E13" s="15"/>
    </row>
    <row r="14" spans="1:5" x14ac:dyDescent="0.3">
      <c r="A14" s="11"/>
      <c r="B14" s="1" t="s">
        <v>19</v>
      </c>
      <c r="C14" s="1" t="s">
        <v>11</v>
      </c>
      <c r="D14" s="1" t="s">
        <v>20</v>
      </c>
      <c r="E14" s="15">
        <v>1</v>
      </c>
    </row>
    <row r="15" spans="1:5" x14ac:dyDescent="0.3">
      <c r="A15" s="11"/>
      <c r="B15" s="1" t="s">
        <v>24</v>
      </c>
      <c r="C15" s="1" t="s">
        <v>11</v>
      </c>
      <c r="D15" s="1" t="s">
        <v>21</v>
      </c>
      <c r="E15" s="15">
        <v>1</v>
      </c>
    </row>
    <row r="16" spans="1:5" x14ac:dyDescent="0.3">
      <c r="A16" s="11"/>
      <c r="B16" s="1" t="s">
        <v>23</v>
      </c>
      <c r="C16" s="1" t="s">
        <v>11</v>
      </c>
      <c r="D16" s="1" t="s">
        <v>22</v>
      </c>
      <c r="E16" s="15">
        <v>2</v>
      </c>
    </row>
    <row r="17" spans="1:5" ht="15" thickBot="1" x14ac:dyDescent="0.35">
      <c r="A17" s="12"/>
      <c r="B17" s="13"/>
      <c r="C17" s="13"/>
      <c r="D17" s="13"/>
      <c r="E17" s="14"/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abSelected="1" topLeftCell="A19" workbookViewId="0">
      <selection activeCell="M39" sqref="M39"/>
    </sheetView>
  </sheetViews>
  <sheetFormatPr defaultRowHeight="14.4" x14ac:dyDescent="0.3"/>
  <cols>
    <col min="1" max="1" width="6.109375" bestFit="1" customWidth="1"/>
    <col min="2" max="2" width="33.77734375" customWidth="1"/>
    <col min="3" max="3" width="5.44140625" bestFit="1" customWidth="1"/>
    <col min="4" max="4" width="13.77734375" customWidth="1"/>
    <col min="5" max="5" width="13.109375" customWidth="1"/>
    <col min="6" max="7" width="9" bestFit="1" customWidth="1"/>
  </cols>
  <sheetData>
    <row r="1" spans="1:7" ht="15.6" x14ac:dyDescent="0.3">
      <c r="A1" s="26" t="s">
        <v>26</v>
      </c>
      <c r="B1" s="26"/>
      <c r="C1" s="26"/>
      <c r="D1" s="26"/>
      <c r="E1" s="26"/>
    </row>
    <row r="2" spans="1:7" x14ac:dyDescent="0.3">
      <c r="A2" s="27" t="s">
        <v>28</v>
      </c>
      <c r="B2" s="27"/>
      <c r="C2" s="27"/>
      <c r="D2" s="27"/>
      <c r="E2" s="27"/>
    </row>
    <row r="4" spans="1:7" ht="28.8" x14ac:dyDescent="0.3">
      <c r="A4" s="16" t="s">
        <v>0</v>
      </c>
      <c r="B4" s="16" t="s">
        <v>1</v>
      </c>
      <c r="C4" s="16" t="s">
        <v>29</v>
      </c>
      <c r="D4" s="16" t="s">
        <v>30</v>
      </c>
      <c r="E4" s="17" t="s">
        <v>25</v>
      </c>
      <c r="F4" s="18" t="s">
        <v>31</v>
      </c>
      <c r="G4" s="19" t="s">
        <v>33</v>
      </c>
    </row>
    <row r="5" spans="1:7" x14ac:dyDescent="0.3">
      <c r="A5" s="1"/>
      <c r="B5" s="1"/>
      <c r="C5" s="1"/>
      <c r="D5" s="1"/>
      <c r="E5" s="1"/>
      <c r="F5" s="1"/>
      <c r="G5" s="1"/>
    </row>
    <row r="6" spans="1:7" x14ac:dyDescent="0.3">
      <c r="A6" s="2" t="s">
        <v>4</v>
      </c>
      <c r="B6" s="2" t="s">
        <v>32</v>
      </c>
      <c r="C6" s="1"/>
      <c r="D6" s="1"/>
      <c r="E6" s="1"/>
      <c r="F6" s="1"/>
      <c r="G6" s="1"/>
    </row>
    <row r="7" spans="1:7" x14ac:dyDescent="0.3">
      <c r="A7" s="2"/>
      <c r="B7" s="2" t="s">
        <v>34</v>
      </c>
      <c r="C7" s="20">
        <v>1</v>
      </c>
      <c r="D7" s="20">
        <v>10.8</v>
      </c>
      <c r="E7" s="21">
        <v>0.85</v>
      </c>
      <c r="F7" s="20"/>
      <c r="G7" s="20">
        <f>C7*D7*E7</f>
        <v>9.18</v>
      </c>
    </row>
    <row r="8" spans="1:7" x14ac:dyDescent="0.3">
      <c r="A8" s="2"/>
      <c r="B8" s="1"/>
      <c r="C8" s="20">
        <v>1</v>
      </c>
      <c r="D8" s="20">
        <v>10.8</v>
      </c>
      <c r="E8" s="21"/>
      <c r="F8" s="20">
        <v>1.2450000000000001</v>
      </c>
      <c r="G8" s="20">
        <f>C8*D8*F8</f>
        <v>13.446000000000002</v>
      </c>
    </row>
    <row r="9" spans="1:7" x14ac:dyDescent="0.3">
      <c r="A9" s="2"/>
      <c r="B9" s="1"/>
      <c r="C9" s="20">
        <v>1</v>
      </c>
      <c r="D9" s="20">
        <v>10.8</v>
      </c>
      <c r="E9" s="21">
        <v>0.45</v>
      </c>
      <c r="F9" s="20"/>
      <c r="G9" s="20">
        <f>C9*D9*E9</f>
        <v>4.8600000000000003</v>
      </c>
    </row>
    <row r="10" spans="1:7" x14ac:dyDescent="0.3">
      <c r="A10" s="2"/>
      <c r="B10" s="2" t="s">
        <v>35</v>
      </c>
      <c r="C10" s="20">
        <v>1</v>
      </c>
      <c r="D10" s="20">
        <v>11.4</v>
      </c>
      <c r="E10" s="21">
        <v>1.145</v>
      </c>
      <c r="F10" s="20"/>
      <c r="G10" s="20">
        <f>C10*D10*E10</f>
        <v>13.053000000000001</v>
      </c>
    </row>
    <row r="11" spans="1:7" x14ac:dyDescent="0.3">
      <c r="A11" s="2"/>
      <c r="B11" s="1"/>
      <c r="C11" s="20">
        <v>1</v>
      </c>
      <c r="D11" s="20">
        <v>11.4</v>
      </c>
      <c r="E11" s="21"/>
      <c r="F11" s="20">
        <v>1.2450000000000001</v>
      </c>
      <c r="G11" s="20">
        <f>C11*D11*F11</f>
        <v>14.193000000000001</v>
      </c>
    </row>
    <row r="12" spans="1:7" x14ac:dyDescent="0.3">
      <c r="A12" s="2"/>
      <c r="B12" s="1"/>
      <c r="C12" s="20">
        <v>1</v>
      </c>
      <c r="D12" s="20">
        <v>11.4</v>
      </c>
      <c r="E12" s="21">
        <v>0.45</v>
      </c>
      <c r="F12" s="20"/>
      <c r="G12" s="20">
        <f>C12*D12*E12</f>
        <v>5.13</v>
      </c>
    </row>
    <row r="13" spans="1:7" x14ac:dyDescent="0.3">
      <c r="A13" s="2"/>
      <c r="B13" s="2"/>
      <c r="C13" s="20">
        <v>1</v>
      </c>
      <c r="D13" s="20">
        <v>2.5249999999999999</v>
      </c>
      <c r="E13" s="21">
        <v>1.145</v>
      </c>
      <c r="F13" s="20"/>
      <c r="G13" s="20">
        <f>C13*D13*E13</f>
        <v>2.8911249999999997</v>
      </c>
    </row>
    <row r="14" spans="1:7" x14ac:dyDescent="0.3">
      <c r="A14" s="1"/>
      <c r="B14" s="1"/>
      <c r="C14" s="20">
        <v>1</v>
      </c>
      <c r="D14" s="20">
        <v>2.5249999999999999</v>
      </c>
      <c r="E14" s="21"/>
      <c r="F14" s="20">
        <v>1.2450000000000001</v>
      </c>
      <c r="G14" s="20">
        <f>C14*D14*F14</f>
        <v>3.1436250000000001</v>
      </c>
    </row>
    <row r="15" spans="1:7" x14ac:dyDescent="0.3">
      <c r="A15" s="1"/>
      <c r="B15" s="1"/>
      <c r="C15" s="20">
        <v>1</v>
      </c>
      <c r="D15" s="20">
        <v>2.5249999999999999</v>
      </c>
      <c r="E15" s="21">
        <v>0.45</v>
      </c>
      <c r="F15" s="20"/>
      <c r="G15" s="20">
        <f>C15*D15*E15</f>
        <v>1.13625</v>
      </c>
    </row>
    <row r="16" spans="1:7" x14ac:dyDescent="0.3">
      <c r="A16" s="1"/>
      <c r="B16" s="1"/>
      <c r="C16" s="20"/>
      <c r="D16" s="20"/>
      <c r="E16" s="21"/>
      <c r="F16" s="20"/>
      <c r="G16" s="20"/>
    </row>
    <row r="17" spans="1:7" x14ac:dyDescent="0.3">
      <c r="A17" s="1"/>
      <c r="B17" s="2" t="s">
        <v>36</v>
      </c>
      <c r="C17" s="20">
        <v>1</v>
      </c>
      <c r="D17" s="20">
        <v>4.415</v>
      </c>
      <c r="E17" s="21">
        <v>1.2</v>
      </c>
      <c r="F17" s="20"/>
      <c r="G17" s="20">
        <f>C17*D17*E17</f>
        <v>5.298</v>
      </c>
    </row>
    <row r="18" spans="1:7" x14ac:dyDescent="0.3">
      <c r="A18" s="1"/>
      <c r="B18" s="1"/>
      <c r="C18" s="20">
        <v>1</v>
      </c>
      <c r="D18" s="20">
        <v>4.415</v>
      </c>
      <c r="E18" s="21"/>
      <c r="F18" s="20">
        <v>1.2450000000000001</v>
      </c>
      <c r="G18" s="20">
        <f>C18*D18*F18</f>
        <v>5.4966750000000006</v>
      </c>
    </row>
    <row r="19" spans="1:7" x14ac:dyDescent="0.3">
      <c r="A19" s="1"/>
      <c r="B19" s="1"/>
      <c r="C19" s="20">
        <v>1</v>
      </c>
      <c r="D19" s="20">
        <v>4.415</v>
      </c>
      <c r="E19" s="21">
        <v>0.45</v>
      </c>
      <c r="F19" s="20"/>
      <c r="G19" s="20">
        <f>C19*D19*E19</f>
        <v>1.98675</v>
      </c>
    </row>
    <row r="20" spans="1:7" x14ac:dyDescent="0.3">
      <c r="A20" s="1"/>
      <c r="B20" s="2"/>
      <c r="C20" s="20">
        <v>1</v>
      </c>
      <c r="D20" s="20">
        <v>12.705</v>
      </c>
      <c r="E20" s="21">
        <f>1.2+2.43</f>
        <v>3.63</v>
      </c>
      <c r="F20" s="20"/>
      <c r="G20" s="20">
        <f>C20*D20*E20</f>
        <v>46.119149999999998</v>
      </c>
    </row>
    <row r="21" spans="1:7" x14ac:dyDescent="0.3">
      <c r="A21" s="1"/>
      <c r="B21" s="1"/>
      <c r="C21" s="20">
        <v>1</v>
      </c>
      <c r="D21" s="20">
        <v>12.705</v>
      </c>
      <c r="E21" s="21"/>
      <c r="F21" s="20">
        <v>1.2450000000000001</v>
      </c>
      <c r="G21" s="20">
        <f>C21*D21*F21</f>
        <v>15.817725000000001</v>
      </c>
    </row>
    <row r="22" spans="1:7" x14ac:dyDescent="0.3">
      <c r="A22" s="1"/>
      <c r="B22" s="1"/>
      <c r="C22" s="20">
        <v>1</v>
      </c>
      <c r="D22" s="20">
        <v>12.705</v>
      </c>
      <c r="E22" s="21">
        <v>0.45</v>
      </c>
      <c r="F22" s="20"/>
      <c r="G22" s="20">
        <f>C22*D22*E22</f>
        <v>5.7172499999999999</v>
      </c>
    </row>
    <row r="23" spans="1:7" x14ac:dyDescent="0.3">
      <c r="A23" s="1"/>
      <c r="B23" s="1"/>
      <c r="C23" s="20">
        <v>1</v>
      </c>
      <c r="D23" s="20">
        <v>2</v>
      </c>
      <c r="E23" s="21">
        <v>1.67</v>
      </c>
      <c r="F23" s="20"/>
      <c r="G23" s="20">
        <f>C23*D23*E23</f>
        <v>3.34</v>
      </c>
    </row>
    <row r="24" spans="1:7" x14ac:dyDescent="0.3">
      <c r="A24" s="1"/>
      <c r="B24" s="1"/>
      <c r="C24" s="20">
        <v>1</v>
      </c>
      <c r="D24" s="20">
        <v>2</v>
      </c>
      <c r="E24" s="21"/>
      <c r="F24" s="20">
        <v>1.2450000000000001</v>
      </c>
      <c r="G24" s="20">
        <f>C24*D24*F24</f>
        <v>2.4900000000000002</v>
      </c>
    </row>
    <row r="25" spans="1:7" x14ac:dyDescent="0.3">
      <c r="A25" s="1"/>
      <c r="B25" s="1"/>
      <c r="C25" s="20">
        <v>1</v>
      </c>
      <c r="D25" s="20">
        <v>2</v>
      </c>
      <c r="E25" s="21">
        <v>0.45</v>
      </c>
      <c r="F25" s="20"/>
      <c r="G25" s="20">
        <f>C25*D25*E25</f>
        <v>0.9</v>
      </c>
    </row>
    <row r="26" spans="1:7" x14ac:dyDescent="0.3">
      <c r="A26" s="1"/>
      <c r="B26" s="1"/>
      <c r="C26" s="20"/>
      <c r="D26" s="20"/>
      <c r="E26" s="20"/>
      <c r="F26" s="20"/>
      <c r="G26" s="20"/>
    </row>
    <row r="27" spans="1:7" x14ac:dyDescent="0.3">
      <c r="A27" s="1"/>
      <c r="B27" s="2" t="s">
        <v>37</v>
      </c>
      <c r="C27" s="20">
        <v>1</v>
      </c>
      <c r="D27" s="20">
        <v>4.1749999999999998</v>
      </c>
      <c r="E27" s="21">
        <v>1.1000000000000001</v>
      </c>
      <c r="F27" s="20"/>
      <c r="G27" s="20">
        <f>C27*D27*E27</f>
        <v>4.5925000000000002</v>
      </c>
    </row>
    <row r="28" spans="1:7" x14ac:dyDescent="0.3">
      <c r="A28" s="1"/>
      <c r="B28" s="1"/>
      <c r="C28" s="20">
        <v>1</v>
      </c>
      <c r="D28" s="20">
        <v>4.1749999999999998</v>
      </c>
      <c r="E28" s="21"/>
      <c r="F28" s="20">
        <v>1.2450000000000001</v>
      </c>
      <c r="G28" s="20">
        <f>C28*D28*F28</f>
        <v>5.1978749999999998</v>
      </c>
    </row>
    <row r="29" spans="1:7" x14ac:dyDescent="0.3">
      <c r="A29" s="1"/>
      <c r="B29" s="1"/>
      <c r="C29" s="20">
        <v>1</v>
      </c>
      <c r="D29" s="20">
        <v>4.1749999999999998</v>
      </c>
      <c r="E29" s="21">
        <v>0.45</v>
      </c>
      <c r="F29" s="20"/>
      <c r="G29" s="20">
        <f>C29*D29*E29</f>
        <v>1.8787499999999999</v>
      </c>
    </row>
    <row r="30" spans="1:7" x14ac:dyDescent="0.3">
      <c r="A30" s="1"/>
      <c r="B30" s="2"/>
      <c r="C30" s="20">
        <v>1</v>
      </c>
      <c r="D30" s="20">
        <v>1.72</v>
      </c>
      <c r="E30" s="21">
        <v>1.1000000000000001</v>
      </c>
      <c r="F30" s="20"/>
      <c r="G30" s="20">
        <f>C30*D30*E30</f>
        <v>1.8920000000000001</v>
      </c>
    </row>
    <row r="31" spans="1:7" x14ac:dyDescent="0.3">
      <c r="A31" s="1"/>
      <c r="B31" s="1"/>
      <c r="C31" s="20">
        <v>1</v>
      </c>
      <c r="D31" s="20">
        <v>1.72</v>
      </c>
      <c r="E31" s="21"/>
      <c r="F31" s="20">
        <v>1.2450000000000001</v>
      </c>
      <c r="G31" s="20">
        <f>C31*D31*F31</f>
        <v>2.1414</v>
      </c>
    </row>
    <row r="32" spans="1:7" x14ac:dyDescent="0.3">
      <c r="A32" s="1"/>
      <c r="B32" s="1"/>
      <c r="C32" s="20">
        <v>1</v>
      </c>
      <c r="D32" s="20">
        <v>1.72</v>
      </c>
      <c r="E32" s="21">
        <v>0.45</v>
      </c>
      <c r="F32" s="20"/>
      <c r="G32" s="20">
        <f>C32*D32*E32</f>
        <v>0.77400000000000002</v>
      </c>
    </row>
    <row r="33" spans="1:7" x14ac:dyDescent="0.3">
      <c r="A33" s="1"/>
      <c r="B33" s="1"/>
      <c r="C33" s="20">
        <v>1</v>
      </c>
      <c r="D33" s="20">
        <v>10.55</v>
      </c>
      <c r="E33" s="21">
        <v>1.1000000000000001</v>
      </c>
      <c r="F33" s="20"/>
      <c r="G33" s="20">
        <f>C33*D33*E33</f>
        <v>11.605000000000002</v>
      </c>
    </row>
    <row r="34" spans="1:7" x14ac:dyDescent="0.3">
      <c r="A34" s="1"/>
      <c r="B34" s="1"/>
      <c r="C34" s="20">
        <v>1</v>
      </c>
      <c r="D34" s="20">
        <v>10.55</v>
      </c>
      <c r="E34" s="21"/>
      <c r="F34" s="20">
        <v>1.2450000000000001</v>
      </c>
      <c r="G34" s="20">
        <f>C34*D34*F34</f>
        <v>13.134750000000002</v>
      </c>
    </row>
    <row r="35" spans="1:7" x14ac:dyDescent="0.3">
      <c r="A35" s="1"/>
      <c r="B35" s="1"/>
      <c r="C35" s="20">
        <v>1</v>
      </c>
      <c r="D35" s="20">
        <v>10.55</v>
      </c>
      <c r="E35" s="21">
        <v>0.45</v>
      </c>
      <c r="F35" s="20"/>
      <c r="G35" s="20">
        <f>C35*D35*E35</f>
        <v>4.7475000000000005</v>
      </c>
    </row>
    <row r="36" spans="1:7" x14ac:dyDescent="0.3">
      <c r="A36" s="1"/>
      <c r="B36" s="1"/>
      <c r="C36" s="20"/>
      <c r="D36" s="20"/>
      <c r="E36" s="20"/>
      <c r="F36" s="20"/>
      <c r="G36" s="20"/>
    </row>
    <row r="37" spans="1:7" x14ac:dyDescent="0.3">
      <c r="A37" s="1"/>
      <c r="B37" s="2" t="s">
        <v>36</v>
      </c>
      <c r="C37" s="20">
        <v>1</v>
      </c>
      <c r="D37" s="20">
        <v>7.15</v>
      </c>
      <c r="E37" s="21">
        <v>1</v>
      </c>
      <c r="F37" s="20"/>
      <c r="G37" s="20">
        <f>C37*D37*E37</f>
        <v>7.15</v>
      </c>
    </row>
    <row r="38" spans="1:7" x14ac:dyDescent="0.3">
      <c r="A38" s="1"/>
      <c r="B38" s="1"/>
      <c r="C38" s="20">
        <v>1</v>
      </c>
      <c r="D38" s="20">
        <v>7.15</v>
      </c>
      <c r="E38" s="21"/>
      <c r="F38" s="20">
        <v>1.2450000000000001</v>
      </c>
      <c r="G38" s="20">
        <f>C38*D38*F38</f>
        <v>8.9017500000000016</v>
      </c>
    </row>
    <row r="39" spans="1:7" x14ac:dyDescent="0.3">
      <c r="A39" s="1"/>
      <c r="B39" s="1"/>
      <c r="C39" s="20">
        <v>1</v>
      </c>
      <c r="D39" s="20">
        <v>7.15</v>
      </c>
      <c r="E39" s="21">
        <v>0.45</v>
      </c>
      <c r="F39" s="20"/>
      <c r="G39" s="20">
        <f>C39*D39*E39</f>
        <v>3.2175000000000002</v>
      </c>
    </row>
    <row r="40" spans="1:7" x14ac:dyDescent="0.3">
      <c r="A40" s="1"/>
      <c r="B40" s="1"/>
      <c r="C40" s="20"/>
      <c r="D40" s="20"/>
      <c r="E40" s="20"/>
      <c r="F40" s="20"/>
      <c r="G40" s="20"/>
    </row>
    <row r="41" spans="1:7" x14ac:dyDescent="0.3">
      <c r="A41" s="1"/>
      <c r="B41" s="1"/>
      <c r="C41" s="20"/>
      <c r="D41" s="22" t="s">
        <v>38</v>
      </c>
      <c r="E41" s="23"/>
      <c r="F41" s="23"/>
      <c r="G41" s="22">
        <f>SUM(G7:G40)</f>
        <v>219.43157500000001</v>
      </c>
    </row>
    <row r="42" spans="1:7" x14ac:dyDescent="0.3">
      <c r="A42" s="1"/>
      <c r="B42" s="1"/>
      <c r="C42" s="20"/>
      <c r="D42" s="24" t="s">
        <v>39</v>
      </c>
      <c r="E42" s="25"/>
      <c r="F42" s="25"/>
      <c r="G42" s="24">
        <f>G41*10.764</f>
        <v>2361.9614732999999</v>
      </c>
    </row>
    <row r="43" spans="1:7" x14ac:dyDescent="0.3">
      <c r="A43" s="1"/>
      <c r="B43" s="1"/>
      <c r="C43" s="1"/>
      <c r="D43" s="1"/>
      <c r="E43" s="1"/>
      <c r="F43" s="1"/>
      <c r="G43" s="1"/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x14ac:dyDescent="0.3">
      <c r="A46" s="1"/>
      <c r="B46" s="1"/>
      <c r="C46" s="1"/>
      <c r="D46" s="1"/>
      <c r="E46" s="1"/>
      <c r="F46" s="1"/>
      <c r="G46" s="1"/>
    </row>
    <row r="47" spans="1:7" x14ac:dyDescent="0.3">
      <c r="A47" s="1"/>
      <c r="B47" s="1"/>
      <c r="C47" s="1"/>
      <c r="D47" s="1"/>
      <c r="E47" s="1"/>
      <c r="F47" s="1"/>
      <c r="G47" s="1"/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2025-12-06T13:21:51Z</dcterms:modified>
</cp:coreProperties>
</file>