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LARY FOR SEP 2025" sheetId="1" r:id="rId1"/>
    <sheet name="SALARY FOR OCT 2025" sheetId="2" r:id="rId2"/>
    <sheet name="SALARY FOR NOV 2025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E35" i="1"/>
  <c r="C29" i="1"/>
  <c r="C30" i="1"/>
  <c r="C31" i="1"/>
  <c r="C32" i="1"/>
  <c r="C33" i="1"/>
  <c r="C34" i="1"/>
  <c r="C35" i="1"/>
  <c r="C25" i="1"/>
  <c r="C26" i="1"/>
  <c r="C27" i="1"/>
  <c r="C28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A35" i="1"/>
  <c r="A30" i="1"/>
  <c r="A31" i="1" s="1"/>
  <c r="A32" i="1" s="1"/>
  <c r="A33" i="1" s="1"/>
  <c r="A34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G39" i="2"/>
  <c r="G39" i="3"/>
  <c r="G42" i="3" s="1"/>
  <c r="A7" i="3"/>
  <c r="B7" i="3" s="1"/>
  <c r="C7" i="3" s="1"/>
  <c r="B6" i="3"/>
  <c r="C6" i="3" s="1"/>
  <c r="C7" i="2"/>
  <c r="C6" i="2"/>
  <c r="C30" i="2"/>
  <c r="C31" i="2"/>
  <c r="C32" i="2"/>
  <c r="C33" i="2"/>
  <c r="C34" i="2"/>
  <c r="C35" i="2"/>
  <c r="C36" i="2"/>
  <c r="C8" i="2"/>
  <c r="C9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B6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A35" i="2"/>
  <c r="A36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7" i="2"/>
  <c r="B7" i="2" s="1"/>
  <c r="A8" i="3" l="1"/>
  <c r="A8" i="2"/>
  <c r="B6" i="1"/>
  <c r="A7" i="1"/>
  <c r="A8" i="1" s="1"/>
  <c r="B8" i="3" l="1"/>
  <c r="C8" i="3" s="1"/>
  <c r="A9" i="3"/>
  <c r="A9" i="2"/>
  <c r="B8" i="2"/>
  <c r="B8" i="1"/>
  <c r="A9" i="1"/>
  <c r="A10" i="1" s="1"/>
  <c r="A11" i="1" s="1"/>
  <c r="A12" i="1" s="1"/>
  <c r="A13" i="1" s="1"/>
  <c r="A14" i="1" s="1"/>
  <c r="A15" i="1" s="1"/>
  <c r="A16" i="1" s="1"/>
  <c r="B16" i="1" s="1"/>
  <c r="B7" i="1"/>
  <c r="B14" i="1"/>
  <c r="B10" i="1"/>
  <c r="B13" i="1"/>
  <c r="B9" i="1"/>
  <c r="B12" i="1"/>
  <c r="A10" i="3" l="1"/>
  <c r="B9" i="3"/>
  <c r="C9" i="3" s="1"/>
  <c r="B9" i="2"/>
  <c r="A10" i="2"/>
  <c r="B11" i="1"/>
  <c r="B15" i="1"/>
  <c r="A11" i="3" l="1"/>
  <c r="B10" i="3"/>
  <c r="B10" i="2"/>
  <c r="A11" i="2"/>
  <c r="B11" i="3" l="1"/>
  <c r="C11" i="3" s="1"/>
  <c r="A12" i="3"/>
  <c r="B11" i="2"/>
  <c r="A12" i="2"/>
  <c r="A13" i="3" l="1"/>
  <c r="B12" i="3"/>
  <c r="C12" i="3" s="1"/>
  <c r="B12" i="2"/>
  <c r="A13" i="2"/>
  <c r="A14" i="3" l="1"/>
  <c r="B13" i="3"/>
  <c r="C13" i="3" s="1"/>
  <c r="B13" i="2"/>
  <c r="A14" i="2"/>
  <c r="B14" i="3" l="1"/>
  <c r="C14" i="3" s="1"/>
  <c r="A15" i="3"/>
  <c r="B14" i="2"/>
  <c r="A15" i="2"/>
  <c r="B15" i="3" l="1"/>
  <c r="C15" i="3" s="1"/>
  <c r="A16" i="3"/>
  <c r="B15" i="2"/>
  <c r="A16" i="2"/>
  <c r="A17" i="3" l="1"/>
  <c r="B16" i="3"/>
  <c r="C16" i="3" s="1"/>
  <c r="B16" i="2"/>
  <c r="A17" i="2"/>
  <c r="A18" i="3" l="1"/>
  <c r="B17" i="3"/>
  <c r="B17" i="2"/>
  <c r="A18" i="2"/>
  <c r="B18" i="3" l="1"/>
  <c r="C18" i="3" s="1"/>
  <c r="A19" i="3"/>
  <c r="A19" i="2"/>
  <c r="B18" i="2"/>
  <c r="A20" i="3" l="1"/>
  <c r="B19" i="3"/>
  <c r="C19" i="3" s="1"/>
  <c r="B19" i="2"/>
  <c r="A20" i="2"/>
  <c r="A21" i="3" l="1"/>
  <c r="B20" i="3"/>
  <c r="C20" i="3" s="1"/>
  <c r="A21" i="2"/>
  <c r="B20" i="2"/>
  <c r="B21" i="3" l="1"/>
  <c r="C21" i="3" s="1"/>
  <c r="A22" i="3"/>
  <c r="B22" i="3" l="1"/>
  <c r="C22" i="3" s="1"/>
  <c r="A23" i="3"/>
  <c r="A24" i="3" l="1"/>
  <c r="B23" i="3"/>
  <c r="C23" i="3" s="1"/>
  <c r="A25" i="3" l="1"/>
  <c r="B24" i="3"/>
  <c r="C24" i="3" s="1"/>
  <c r="B25" i="3" l="1"/>
  <c r="C25" i="3" s="1"/>
  <c r="A26" i="3"/>
  <c r="B26" i="3" l="1"/>
  <c r="C26" i="3" s="1"/>
  <c r="A27" i="3"/>
  <c r="A28" i="3" l="1"/>
  <c r="B27" i="3"/>
  <c r="A29" i="3" l="1"/>
  <c r="B28" i="3"/>
  <c r="B29" i="3" l="1"/>
  <c r="A30" i="3"/>
  <c r="B30" i="3" l="1"/>
  <c r="A31" i="3"/>
  <c r="A32" i="3" l="1"/>
  <c r="B31" i="3"/>
  <c r="A33" i="3" l="1"/>
  <c r="B32" i="3"/>
  <c r="B33" i="3" l="1"/>
  <c r="A34" i="3"/>
  <c r="B34" i="3" l="1"/>
  <c r="A35" i="3"/>
  <c r="A36" i="3" l="1"/>
  <c r="B36" i="3" s="1"/>
  <c r="B35" i="3"/>
  <c r="G36" i="3" l="1"/>
  <c r="E36" i="3"/>
</calcChain>
</file>

<file path=xl/sharedStrings.xml><?xml version="1.0" encoding="utf-8"?>
<sst xmlns="http://schemas.openxmlformats.org/spreadsheetml/2006/main" count="52" uniqueCount="28">
  <si>
    <t xml:space="preserve">SALARY DETAILS OF DEPARTMENT LABOUR AND DATE OF JOINING </t>
  </si>
  <si>
    <t xml:space="preserve">NAME - BHOLE YADAV /RAMBABU YADAV </t>
  </si>
  <si>
    <t>DATE OF JOINING - 20-09-2025</t>
  </si>
  <si>
    <t xml:space="preserve">RAVI ADARA TINGRE REALTY PARGE NAGAR KONDHWA PUNE </t>
  </si>
  <si>
    <t xml:space="preserve">DATE </t>
  </si>
  <si>
    <t xml:space="preserve">PRESENT </t>
  </si>
  <si>
    <t>DAY</t>
  </si>
  <si>
    <t xml:space="preserve">TOTAL SUM OF SALARY </t>
  </si>
  <si>
    <t xml:space="preserve">TOTAL NO OF DAYS  </t>
  </si>
  <si>
    <t>SALARY FO RTHE MONTH OF SEPTEMBER 2025 (500RS PER DAY)</t>
  </si>
  <si>
    <t>p</t>
  </si>
  <si>
    <t>SALARY FO RTHE MONTH OF OCTOBER 2025 (500RS PER DAY)</t>
  </si>
  <si>
    <t>RS</t>
  </si>
  <si>
    <t>Days</t>
  </si>
  <si>
    <t>SALARY FO RTHE MONTH OF NOVEMBER 2025 (500RS PER DAY)</t>
  </si>
  <si>
    <t xml:space="preserve">SUMMARY </t>
  </si>
  <si>
    <t>TILL 21-11-2028</t>
  </si>
  <si>
    <t xml:space="preserve">OCTOBER </t>
  </si>
  <si>
    <t>FROM 20-09-2025</t>
  </si>
  <si>
    <t>NOVEMBER</t>
  </si>
  <si>
    <t>SEPTEMBER</t>
  </si>
  <si>
    <t xml:space="preserve">TOTAL SUM </t>
  </si>
  <si>
    <t xml:space="preserve">PAYMENY RECEIVED TILL DATE </t>
  </si>
  <si>
    <t>BALANCE</t>
  </si>
  <si>
    <t xml:space="preserve">BUT AS PER COMPANYS POLICY </t>
  </si>
  <si>
    <t xml:space="preserve">SUNDAY PAYMENT 2 DAYS </t>
  </si>
  <si>
    <t xml:space="preserve">RS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</si>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</sst>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topLeftCell="A15" workbookViewId="0">
      <selection activeCell="D26" sqref="D25:E34"/>
    </sheetView>
  </sheetViews>
  <sheetFormatPr defaultRowHeight="14.4" x14ac:dyDescent="0.3"/>
  <cols>
    <col min="1" max="1" width="10.33203125" bestFit="1" customWidth="1"/>
    <col min="2" max="2" width="10.44140625" bestFit="1" customWidth="1"/>
  </cols>
  <sheetData>
    <row r="1" spans="1:10" x14ac:dyDescent="0.3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 t="s">
        <v>9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 t="s">
        <v>1</v>
      </c>
      <c r="B4" s="3"/>
      <c r="C4" s="3"/>
      <c r="D4" s="3"/>
      <c r="E4" s="3"/>
      <c r="F4" s="3" t="s">
        <v>2</v>
      </c>
      <c r="G4" s="3"/>
      <c r="H4" s="3"/>
      <c r="I4" s="3"/>
      <c r="J4" s="3"/>
    </row>
    <row r="5" spans="1:10" x14ac:dyDescent="0.3">
      <c r="A5" t="s">
        <v>6</v>
      </c>
      <c r="B5" t="s">
        <v>4</v>
      </c>
      <c r="C5" t="s">
        <v>5</v>
      </c>
      <c r="D5" t="s">
        <v>27</v>
      </c>
      <c r="E5" s="2" t="s">
        <v>8</v>
      </c>
      <c r="F5" s="2"/>
      <c r="G5" s="2" t="s">
        <v>7</v>
      </c>
      <c r="H5" s="2"/>
    </row>
    <row r="6" spans="1:10" x14ac:dyDescent="0.3">
      <c r="A6" s="1">
        <v>45901</v>
      </c>
      <c r="B6" t="str">
        <f>TEXT(A6,"dddd")</f>
        <v>Monday</v>
      </c>
      <c r="E6" s="2"/>
      <c r="F6" s="2"/>
    </row>
    <row r="7" spans="1:10" x14ac:dyDescent="0.3">
      <c r="A7" s="1">
        <f>A6+1</f>
        <v>45902</v>
      </c>
      <c r="B7" t="str">
        <f t="shared" ref="B7:B35" si="0">TEXT(A7,"dddd")</f>
        <v>Tuesday</v>
      </c>
    </row>
    <row r="8" spans="1:10" x14ac:dyDescent="0.3">
      <c r="A8" s="1">
        <f t="shared" ref="A8:A36" si="1">A7+1</f>
        <v>45903</v>
      </c>
      <c r="B8" t="str">
        <f t="shared" si="0"/>
        <v>Wednesday</v>
      </c>
    </row>
    <row r="9" spans="1:10" x14ac:dyDescent="0.3">
      <c r="A9" s="1">
        <f t="shared" si="1"/>
        <v>45904</v>
      </c>
      <c r="B9" t="str">
        <f t="shared" si="0"/>
        <v>Thursday</v>
      </c>
    </row>
    <row r="10" spans="1:10" x14ac:dyDescent="0.3">
      <c r="A10" s="1">
        <f t="shared" si="1"/>
        <v>45905</v>
      </c>
      <c r="B10" t="str">
        <f t="shared" si="0"/>
        <v>Friday</v>
      </c>
    </row>
    <row r="11" spans="1:10" x14ac:dyDescent="0.3">
      <c r="A11" s="1">
        <f t="shared" si="1"/>
        <v>45906</v>
      </c>
      <c r="B11" t="str">
        <f t="shared" si="0"/>
        <v>Saturday</v>
      </c>
    </row>
    <row r="12" spans="1:10" x14ac:dyDescent="0.3">
      <c r="A12" s="1">
        <f t="shared" si="1"/>
        <v>45907</v>
      </c>
      <c r="B12" t="str">
        <f t="shared" si="0"/>
        <v>Sunday</v>
      </c>
    </row>
    <row r="13" spans="1:10" x14ac:dyDescent="0.3">
      <c r="A13" s="1">
        <f t="shared" si="1"/>
        <v>45908</v>
      </c>
      <c r="B13" t="str">
        <f t="shared" si="0"/>
        <v>Monday</v>
      </c>
    </row>
    <row r="14" spans="1:10" x14ac:dyDescent="0.3">
      <c r="A14" s="1">
        <f t="shared" si="1"/>
        <v>45909</v>
      </c>
      <c r="B14" t="str">
        <f t="shared" si="0"/>
        <v>Tuesday</v>
      </c>
    </row>
    <row r="15" spans="1:10" x14ac:dyDescent="0.3">
      <c r="A15" s="1">
        <f t="shared" si="1"/>
        <v>45910</v>
      </c>
      <c r="B15" t="str">
        <f t="shared" si="0"/>
        <v>Wednesday</v>
      </c>
    </row>
    <row r="16" spans="1:10" x14ac:dyDescent="0.3">
      <c r="A16" s="1">
        <f t="shared" si="1"/>
        <v>45911</v>
      </c>
      <c r="B16" t="str">
        <f t="shared" si="0"/>
        <v>Thursday</v>
      </c>
    </row>
    <row r="17" spans="1:3" x14ac:dyDescent="0.3">
      <c r="A17" s="1">
        <f t="shared" si="1"/>
        <v>45912</v>
      </c>
      <c r="B17" t="str">
        <f t="shared" si="0"/>
        <v>Friday</v>
      </c>
    </row>
    <row r="18" spans="1:3" x14ac:dyDescent="0.3">
      <c r="A18" s="1">
        <f t="shared" si="1"/>
        <v>45913</v>
      </c>
      <c r="B18" t="str">
        <f t="shared" si="0"/>
        <v>Saturday</v>
      </c>
    </row>
    <row r="19" spans="1:3" x14ac:dyDescent="0.3">
      <c r="A19" s="1">
        <f t="shared" si="1"/>
        <v>45914</v>
      </c>
      <c r="B19" t="str">
        <f t="shared" si="0"/>
        <v>Sunday</v>
      </c>
    </row>
    <row r="20" spans="1:3" x14ac:dyDescent="0.3">
      <c r="A20" s="1">
        <f t="shared" si="1"/>
        <v>45915</v>
      </c>
      <c r="B20" t="str">
        <f t="shared" si="0"/>
        <v>Monday</v>
      </c>
    </row>
    <row r="21" spans="1:3" x14ac:dyDescent="0.3">
      <c r="A21" s="1">
        <f t="shared" si="1"/>
        <v>45916</v>
      </c>
      <c r="B21" t="str">
        <f t="shared" si="0"/>
        <v>Tuesday</v>
      </c>
    </row>
    <row r="22" spans="1:3" x14ac:dyDescent="0.3">
      <c r="A22" s="1">
        <f t="shared" si="1"/>
        <v>45917</v>
      </c>
      <c r="B22" t="str">
        <f t="shared" si="0"/>
        <v>Wednesday</v>
      </c>
    </row>
    <row r="23" spans="1:3" x14ac:dyDescent="0.3">
      <c r="A23" s="1">
        <f t="shared" si="1"/>
        <v>45918</v>
      </c>
      <c r="B23" t="str">
        <f t="shared" si="0"/>
        <v>Thursday</v>
      </c>
    </row>
    <row r="24" spans="1:3" x14ac:dyDescent="0.3">
      <c r="A24" s="1">
        <f t="shared" si="1"/>
        <v>45919</v>
      </c>
      <c r="B24" t="str">
        <f t="shared" si="0"/>
        <v>Friday</v>
      </c>
    </row>
    <row r="25" spans="1:3" x14ac:dyDescent="0.3">
      <c r="A25" s="1">
        <f t="shared" si="1"/>
        <v>45920</v>
      </c>
      <c r="B25" t="str">
        <f t="shared" si="0"/>
        <v>Saturday</v>
      </c>
      <c r="C25" t="str">
        <f t="shared" ref="C7:C35" si="2">IF(TEXT($B25,"dddd")="Sunday","A","P")</f>
        <v>P</v>
      </c>
    </row>
    <row r="26" spans="1:3" x14ac:dyDescent="0.3">
      <c r="A26" s="1">
        <f t="shared" si="1"/>
        <v>45921</v>
      </c>
      <c r="B26" t="str">
        <f t="shared" si="0"/>
        <v>Sunday</v>
      </c>
      <c r="C26" t="str">
        <f t="shared" si="2"/>
        <v>A</v>
      </c>
    </row>
    <row r="27" spans="1:3" x14ac:dyDescent="0.3">
      <c r="A27" s="1">
        <f t="shared" si="1"/>
        <v>45922</v>
      </c>
      <c r="B27" t="str">
        <f t="shared" si="0"/>
        <v>Monday</v>
      </c>
      <c r="C27" t="str">
        <f t="shared" si="2"/>
        <v>P</v>
      </c>
    </row>
    <row r="28" spans="1:3" x14ac:dyDescent="0.3">
      <c r="A28" s="1">
        <f t="shared" si="1"/>
        <v>45923</v>
      </c>
      <c r="B28" t="str">
        <f t="shared" si="0"/>
        <v>Tuesday</v>
      </c>
      <c r="C28" t="str">
        <f t="shared" si="2"/>
        <v>P</v>
      </c>
    </row>
    <row r="29" spans="1:3" x14ac:dyDescent="0.3">
      <c r="A29" s="1">
        <f t="shared" si="1"/>
        <v>45924</v>
      </c>
      <c r="B29" t="str">
        <f t="shared" si="0"/>
        <v>Wednesday</v>
      </c>
      <c r="C29" t="str">
        <f>IF(TEXT($B29,"dddd")="Sunday","A","P")</f>
        <v>P</v>
      </c>
    </row>
    <row r="30" spans="1:3" x14ac:dyDescent="0.3">
      <c r="A30" s="1">
        <f t="shared" si="1"/>
        <v>45925</v>
      </c>
      <c r="B30" t="str">
        <f t="shared" si="0"/>
        <v>Thursday</v>
      </c>
      <c r="C30" t="str">
        <f t="shared" si="2"/>
        <v>P</v>
      </c>
    </row>
    <row r="31" spans="1:3" x14ac:dyDescent="0.3">
      <c r="A31" s="1">
        <f t="shared" si="1"/>
        <v>45926</v>
      </c>
      <c r="B31" t="str">
        <f t="shared" si="0"/>
        <v>Friday</v>
      </c>
      <c r="C31" t="str">
        <f t="shared" si="2"/>
        <v>P</v>
      </c>
    </row>
    <row r="32" spans="1:3" x14ac:dyDescent="0.3">
      <c r="A32" s="1">
        <f t="shared" si="1"/>
        <v>45927</v>
      </c>
      <c r="B32" t="str">
        <f t="shared" si="0"/>
        <v>Saturday</v>
      </c>
      <c r="C32" t="str">
        <f t="shared" si="2"/>
        <v>P</v>
      </c>
    </row>
    <row r="33" spans="1:8" x14ac:dyDescent="0.3">
      <c r="A33" s="1">
        <f t="shared" si="1"/>
        <v>45928</v>
      </c>
      <c r="B33" t="str">
        <f t="shared" si="0"/>
        <v>Sunday</v>
      </c>
      <c r="C33" t="str">
        <f t="shared" si="2"/>
        <v>A</v>
      </c>
    </row>
    <row r="34" spans="1:8" x14ac:dyDescent="0.3">
      <c r="A34" s="1">
        <f t="shared" si="1"/>
        <v>45929</v>
      </c>
      <c r="B34" t="str">
        <f t="shared" si="0"/>
        <v>Monday</v>
      </c>
      <c r="C34" t="str">
        <f t="shared" si="2"/>
        <v>P</v>
      </c>
    </row>
    <row r="35" spans="1:8" x14ac:dyDescent="0.3">
      <c r="A35" s="1">
        <f t="shared" si="1"/>
        <v>45930</v>
      </c>
      <c r="B35" t="str">
        <f t="shared" si="0"/>
        <v>Tuesday</v>
      </c>
      <c r="C35" t="str">
        <f t="shared" si="2"/>
        <v>P</v>
      </c>
      <c r="D35">
        <v>500</v>
      </c>
      <c r="E35" s="3">
        <f>COUNTIF(C6:C35, "P")</f>
        <v>9</v>
      </c>
      <c r="F35" s="3"/>
      <c r="G35">
        <f>COUNTIF(C6:C35, "P")*500</f>
        <v>4500</v>
      </c>
      <c r="H35" t="s">
        <v>12</v>
      </c>
    </row>
    <row r="36" spans="1:8" x14ac:dyDescent="0.3">
      <c r="A36" s="1"/>
    </row>
    <row r="37" spans="1:8" x14ac:dyDescent="0.3">
      <c r="A37" s="1"/>
    </row>
    <row r="38" spans="1:8" x14ac:dyDescent="0.3">
      <c r="A38" s="1"/>
    </row>
    <row r="39" spans="1:8" x14ac:dyDescent="0.3">
      <c r="A39" s="1"/>
    </row>
    <row r="40" spans="1:8" x14ac:dyDescent="0.3">
      <c r="A40" s="1"/>
    </row>
    <row r="41" spans="1:8" x14ac:dyDescent="0.3">
      <c r="A41" s="1"/>
    </row>
    <row r="42" spans="1:8" x14ac:dyDescent="0.3">
      <c r="A42" s="1"/>
    </row>
    <row r="43" spans="1:8" x14ac:dyDescent="0.3">
      <c r="A43" s="1"/>
    </row>
    <row r="44" spans="1:8" x14ac:dyDescent="0.3">
      <c r="A44" s="1"/>
    </row>
    <row r="45" spans="1:8" x14ac:dyDescent="0.3">
      <c r="A45" s="1"/>
    </row>
    <row r="46" spans="1:8" x14ac:dyDescent="0.3">
      <c r="A46" s="1"/>
    </row>
    <row r="47" spans="1:8" x14ac:dyDescent="0.3">
      <c r="A47" s="1"/>
      <c r="E47" s="2"/>
      <c r="F47" s="2"/>
    </row>
    <row r="48" spans="1:8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</sheetData>
  <mergeCells count="6">
    <mergeCell ref="E35:F35"/>
    <mergeCell ref="A1:J1"/>
    <mergeCell ref="A2:J2"/>
    <mergeCell ref="A4:E4"/>
    <mergeCell ref="F4:J4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18" zoomScaleNormal="100" workbookViewId="0">
      <selection activeCell="G47" sqref="G47"/>
    </sheetView>
  </sheetViews>
  <sheetFormatPr defaultRowHeight="14.4" x14ac:dyDescent="0.3"/>
  <cols>
    <col min="1" max="1" width="10.33203125" bestFit="1" customWidth="1"/>
    <col min="2" max="2" width="10.44140625" bestFit="1" customWidth="1"/>
  </cols>
  <sheetData>
    <row r="1" spans="1:10" x14ac:dyDescent="0.3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 t="s">
        <v>1</v>
      </c>
      <c r="B4" s="3"/>
      <c r="C4" s="3"/>
      <c r="D4" s="3"/>
      <c r="E4" s="3"/>
      <c r="F4" s="3" t="s">
        <v>2</v>
      </c>
      <c r="G4" s="3"/>
      <c r="H4" s="3"/>
      <c r="I4" s="3"/>
      <c r="J4" s="3"/>
    </row>
    <row r="5" spans="1:10" x14ac:dyDescent="0.3">
      <c r="A5" t="s">
        <v>6</v>
      </c>
      <c r="B5" t="s">
        <v>4</v>
      </c>
      <c r="C5" t="s">
        <v>5</v>
      </c>
      <c r="E5" s="2" t="s">
        <v>8</v>
      </c>
      <c r="F5" s="2"/>
      <c r="G5" s="2" t="s">
        <v>7</v>
      </c>
      <c r="H5" s="2"/>
    </row>
    <row r="6" spans="1:10" x14ac:dyDescent="0.3">
      <c r="A6" s="1">
        <v>45931</v>
      </c>
      <c r="B6" t="str">
        <f>TEXT(A6,"dddd")</f>
        <v>Wednesday</v>
      </c>
      <c r="C6" t="str">
        <f>IF(TEXT($B6,"dddd")="Sunday","A","P")</f>
        <v>P</v>
      </c>
      <c r="E6" s="2"/>
      <c r="F6" s="2"/>
    </row>
    <row r="7" spans="1:10" x14ac:dyDescent="0.3">
      <c r="A7" s="1">
        <f>A6+1</f>
        <v>45932</v>
      </c>
      <c r="B7" t="str">
        <f t="shared" ref="B7:B37" si="0">TEXT(A7,"dddd")</f>
        <v>Thursday</v>
      </c>
      <c r="C7" t="str">
        <f>IF(TEXT($B7,"dddd")="Sunday","A","P")</f>
        <v>P</v>
      </c>
    </row>
    <row r="8" spans="1:10" x14ac:dyDescent="0.3">
      <c r="A8" s="1">
        <f t="shared" ref="A8:A37" si="1">A7+1</f>
        <v>45933</v>
      </c>
      <c r="B8" t="str">
        <f t="shared" si="0"/>
        <v>Friday</v>
      </c>
      <c r="C8" t="str">
        <f t="shared" ref="C7:C37" si="2">IF(TEXT(B8,"dddd")="Sunday","A","P")</f>
        <v>P</v>
      </c>
    </row>
    <row r="9" spans="1:10" x14ac:dyDescent="0.3">
      <c r="A9" s="1">
        <f t="shared" si="1"/>
        <v>45934</v>
      </c>
      <c r="B9" t="str">
        <f t="shared" si="0"/>
        <v>Saturday</v>
      </c>
      <c r="C9" t="str">
        <f t="shared" si="2"/>
        <v>P</v>
      </c>
    </row>
    <row r="10" spans="1:10" x14ac:dyDescent="0.3">
      <c r="A10" s="4">
        <f t="shared" si="1"/>
        <v>45935</v>
      </c>
      <c r="B10" s="5" t="str">
        <f t="shared" si="0"/>
        <v>Sunday</v>
      </c>
      <c r="C10" s="5" t="s">
        <v>10</v>
      </c>
    </row>
    <row r="11" spans="1:10" x14ac:dyDescent="0.3">
      <c r="A11" s="1">
        <f t="shared" si="1"/>
        <v>45936</v>
      </c>
      <c r="B11" t="str">
        <f t="shared" si="0"/>
        <v>Monday</v>
      </c>
      <c r="C11" t="str">
        <f t="shared" si="2"/>
        <v>P</v>
      </c>
    </row>
    <row r="12" spans="1:10" x14ac:dyDescent="0.3">
      <c r="A12" s="1">
        <f t="shared" si="1"/>
        <v>45937</v>
      </c>
      <c r="B12" t="str">
        <f t="shared" si="0"/>
        <v>Tuesday</v>
      </c>
      <c r="C12" t="str">
        <f t="shared" si="2"/>
        <v>P</v>
      </c>
    </row>
    <row r="13" spans="1:10" x14ac:dyDescent="0.3">
      <c r="A13" s="1">
        <f t="shared" si="1"/>
        <v>45938</v>
      </c>
      <c r="B13" t="str">
        <f t="shared" si="0"/>
        <v>Wednesday</v>
      </c>
      <c r="C13" t="str">
        <f t="shared" si="2"/>
        <v>P</v>
      </c>
    </row>
    <row r="14" spans="1:10" x14ac:dyDescent="0.3">
      <c r="A14" s="1">
        <f t="shared" si="1"/>
        <v>45939</v>
      </c>
      <c r="B14" t="str">
        <f t="shared" si="0"/>
        <v>Thursday</v>
      </c>
      <c r="C14" t="str">
        <f t="shared" si="2"/>
        <v>P</v>
      </c>
    </row>
    <row r="15" spans="1:10" x14ac:dyDescent="0.3">
      <c r="A15" s="1">
        <f t="shared" si="1"/>
        <v>45940</v>
      </c>
      <c r="B15" t="str">
        <f t="shared" si="0"/>
        <v>Friday</v>
      </c>
      <c r="C15" t="str">
        <f t="shared" si="2"/>
        <v>P</v>
      </c>
    </row>
    <row r="16" spans="1:10" x14ac:dyDescent="0.3">
      <c r="A16" s="1">
        <f t="shared" si="1"/>
        <v>45941</v>
      </c>
      <c r="B16" t="str">
        <f t="shared" si="0"/>
        <v>Saturday</v>
      </c>
      <c r="C16" t="str">
        <f t="shared" si="2"/>
        <v>P</v>
      </c>
      <c r="E16" s="2"/>
      <c r="F16" s="2"/>
    </row>
    <row r="17" spans="1:3" x14ac:dyDescent="0.3">
      <c r="A17" s="4">
        <f t="shared" si="1"/>
        <v>45942</v>
      </c>
      <c r="B17" s="5" t="str">
        <f t="shared" si="0"/>
        <v>Sunday</v>
      </c>
      <c r="C17" s="5" t="s">
        <v>10</v>
      </c>
    </row>
    <row r="18" spans="1:3" x14ac:dyDescent="0.3">
      <c r="A18" s="1">
        <f t="shared" si="1"/>
        <v>45943</v>
      </c>
      <c r="B18" t="str">
        <f t="shared" si="0"/>
        <v>Monday</v>
      </c>
      <c r="C18" t="str">
        <f t="shared" si="2"/>
        <v>P</v>
      </c>
    </row>
    <row r="19" spans="1:3" x14ac:dyDescent="0.3">
      <c r="A19" s="1">
        <f t="shared" si="1"/>
        <v>45944</v>
      </c>
      <c r="B19" t="str">
        <f t="shared" si="0"/>
        <v>Tuesday</v>
      </c>
      <c r="C19" t="str">
        <f t="shared" si="2"/>
        <v>P</v>
      </c>
    </row>
    <row r="20" spans="1:3" x14ac:dyDescent="0.3">
      <c r="A20" s="1">
        <f t="shared" si="1"/>
        <v>45945</v>
      </c>
      <c r="B20" t="str">
        <f t="shared" si="0"/>
        <v>Wednesday</v>
      </c>
      <c r="C20" t="str">
        <f t="shared" si="2"/>
        <v>P</v>
      </c>
    </row>
    <row r="21" spans="1:3" x14ac:dyDescent="0.3">
      <c r="A21" s="1">
        <f t="shared" si="1"/>
        <v>45946</v>
      </c>
      <c r="B21" t="str">
        <f t="shared" si="0"/>
        <v>Thursday</v>
      </c>
      <c r="C21" t="str">
        <f t="shared" si="2"/>
        <v>P</v>
      </c>
    </row>
    <row r="22" spans="1:3" x14ac:dyDescent="0.3">
      <c r="A22" s="1">
        <f t="shared" si="1"/>
        <v>45947</v>
      </c>
      <c r="B22" t="str">
        <f t="shared" si="0"/>
        <v>Friday</v>
      </c>
      <c r="C22" t="str">
        <f t="shared" si="2"/>
        <v>P</v>
      </c>
    </row>
    <row r="23" spans="1:3" x14ac:dyDescent="0.3">
      <c r="A23" s="1">
        <f t="shared" si="1"/>
        <v>45948</v>
      </c>
      <c r="B23" t="str">
        <f t="shared" si="0"/>
        <v>Saturday</v>
      </c>
      <c r="C23" t="str">
        <f t="shared" si="2"/>
        <v>P</v>
      </c>
    </row>
    <row r="24" spans="1:3" x14ac:dyDescent="0.3">
      <c r="A24" s="1">
        <f t="shared" si="1"/>
        <v>45949</v>
      </c>
      <c r="B24" t="str">
        <f t="shared" si="0"/>
        <v>Sunday</v>
      </c>
      <c r="C24" t="str">
        <f t="shared" si="2"/>
        <v>A</v>
      </c>
    </row>
    <row r="25" spans="1:3" x14ac:dyDescent="0.3">
      <c r="A25" s="1">
        <f t="shared" si="1"/>
        <v>45950</v>
      </c>
      <c r="B25" t="str">
        <f t="shared" si="0"/>
        <v>Monday</v>
      </c>
      <c r="C25" t="str">
        <f t="shared" si="2"/>
        <v>P</v>
      </c>
    </row>
    <row r="26" spans="1:3" x14ac:dyDescent="0.3">
      <c r="A26" s="1">
        <f t="shared" si="1"/>
        <v>45951</v>
      </c>
      <c r="B26" t="str">
        <f t="shared" si="0"/>
        <v>Tuesday</v>
      </c>
      <c r="C26" t="str">
        <f t="shared" si="2"/>
        <v>P</v>
      </c>
    </row>
    <row r="27" spans="1:3" x14ac:dyDescent="0.3">
      <c r="A27" s="1">
        <f t="shared" si="1"/>
        <v>45952</v>
      </c>
      <c r="B27" t="str">
        <f t="shared" si="0"/>
        <v>Wednesday</v>
      </c>
      <c r="C27" t="str">
        <f t="shared" si="2"/>
        <v>P</v>
      </c>
    </row>
    <row r="28" spans="1:3" x14ac:dyDescent="0.3">
      <c r="A28" s="1">
        <f t="shared" si="1"/>
        <v>45953</v>
      </c>
      <c r="B28" t="str">
        <f t="shared" si="0"/>
        <v>Thursday</v>
      </c>
      <c r="C28" t="str">
        <f t="shared" si="2"/>
        <v>P</v>
      </c>
    </row>
    <row r="29" spans="1:3" x14ac:dyDescent="0.3">
      <c r="A29" s="1">
        <f t="shared" si="1"/>
        <v>45954</v>
      </c>
      <c r="B29" t="str">
        <f t="shared" si="0"/>
        <v>Friday</v>
      </c>
      <c r="C29" t="str">
        <f t="shared" si="2"/>
        <v>P</v>
      </c>
    </row>
    <row r="30" spans="1:3" x14ac:dyDescent="0.3">
      <c r="A30" s="1">
        <f t="shared" si="1"/>
        <v>45955</v>
      </c>
      <c r="B30" t="str">
        <f t="shared" si="0"/>
        <v>Saturday</v>
      </c>
      <c r="C30" t="str">
        <f>IF(TEXT(B30,"dddd")="Sunday","A","P")</f>
        <v>P</v>
      </c>
    </row>
    <row r="31" spans="1:3" x14ac:dyDescent="0.3">
      <c r="A31" s="1">
        <f t="shared" si="1"/>
        <v>45956</v>
      </c>
      <c r="B31" t="str">
        <f t="shared" si="0"/>
        <v>Sunday</v>
      </c>
      <c r="C31" t="str">
        <f t="shared" si="2"/>
        <v>A</v>
      </c>
    </row>
    <row r="32" spans="1:3" x14ac:dyDescent="0.3">
      <c r="A32" s="1">
        <f t="shared" si="1"/>
        <v>45957</v>
      </c>
      <c r="B32" t="str">
        <f t="shared" si="0"/>
        <v>Monday</v>
      </c>
      <c r="C32" t="str">
        <f t="shared" si="2"/>
        <v>P</v>
      </c>
    </row>
    <row r="33" spans="1:8" x14ac:dyDescent="0.3">
      <c r="A33" s="1">
        <f t="shared" si="1"/>
        <v>45958</v>
      </c>
      <c r="B33" t="str">
        <f t="shared" si="0"/>
        <v>Tuesday</v>
      </c>
      <c r="C33" t="str">
        <f t="shared" si="2"/>
        <v>P</v>
      </c>
    </row>
    <row r="34" spans="1:8" x14ac:dyDescent="0.3">
      <c r="A34" s="1">
        <f t="shared" si="1"/>
        <v>45959</v>
      </c>
      <c r="B34" t="str">
        <f t="shared" si="0"/>
        <v>Wednesday</v>
      </c>
      <c r="C34" t="str">
        <f t="shared" si="2"/>
        <v>P</v>
      </c>
    </row>
    <row r="35" spans="1:8" x14ac:dyDescent="0.3">
      <c r="A35" s="1">
        <f t="shared" si="1"/>
        <v>45960</v>
      </c>
      <c r="B35" t="str">
        <f t="shared" si="0"/>
        <v>Thursday</v>
      </c>
      <c r="C35" t="str">
        <f t="shared" si="2"/>
        <v>P</v>
      </c>
    </row>
    <row r="36" spans="1:8" x14ac:dyDescent="0.3">
      <c r="A36" s="1">
        <f t="shared" si="1"/>
        <v>45961</v>
      </c>
      <c r="B36" t="str">
        <f t="shared" si="0"/>
        <v>Friday</v>
      </c>
      <c r="C36" t="str">
        <f t="shared" si="2"/>
        <v>P</v>
      </c>
      <c r="E36" s="2"/>
      <c r="F36" s="2"/>
      <c r="G36">
        <v>15000</v>
      </c>
      <c r="H36" t="s">
        <v>12</v>
      </c>
    </row>
    <row r="37" spans="1:8" x14ac:dyDescent="0.3">
      <c r="A37" s="1"/>
    </row>
    <row r="38" spans="1:8" x14ac:dyDescent="0.3">
      <c r="A38" s="1" t="s">
        <v>25</v>
      </c>
      <c r="G38">
        <v>1000</v>
      </c>
      <c r="H38" t="s">
        <v>26</v>
      </c>
    </row>
    <row r="39" spans="1:8" x14ac:dyDescent="0.3">
      <c r="A39" s="1"/>
      <c r="G39">
        <f>SUM(G36+G38)</f>
        <v>16000</v>
      </c>
      <c r="H39" t="s">
        <v>26</v>
      </c>
    </row>
    <row r="40" spans="1:8" x14ac:dyDescent="0.3">
      <c r="A40" s="1"/>
    </row>
    <row r="41" spans="1:8" x14ac:dyDescent="0.3">
      <c r="A41" s="1"/>
    </row>
    <row r="42" spans="1:8" x14ac:dyDescent="0.3">
      <c r="A42" s="1"/>
    </row>
    <row r="43" spans="1:8" x14ac:dyDescent="0.3">
      <c r="A43" s="1"/>
    </row>
    <row r="44" spans="1:8" x14ac:dyDescent="0.3">
      <c r="A44" s="1"/>
    </row>
    <row r="45" spans="1:8" x14ac:dyDescent="0.3">
      <c r="A45" s="1"/>
    </row>
    <row r="46" spans="1:8" x14ac:dyDescent="0.3">
      <c r="A46" s="1"/>
    </row>
    <row r="47" spans="1:8" x14ac:dyDescent="0.3">
      <c r="A47" s="1"/>
      <c r="E47" s="2"/>
      <c r="F47" s="2"/>
    </row>
    <row r="48" spans="1:8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</sheetData>
  <mergeCells count="5">
    <mergeCell ref="A1:J1"/>
    <mergeCell ref="A2:J2"/>
    <mergeCell ref="A3:J3"/>
    <mergeCell ref="A4:E4"/>
    <mergeCell ref="F4:J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28" workbookViewId="0">
      <selection activeCell="C39" sqref="C39"/>
    </sheetView>
  </sheetViews>
  <sheetFormatPr defaultRowHeight="14.4" x14ac:dyDescent="0.3"/>
  <cols>
    <col min="1" max="1" width="10.33203125" bestFit="1" customWidth="1"/>
  </cols>
  <sheetData>
    <row r="1" spans="1:10" x14ac:dyDescent="0.3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 t="s">
        <v>1</v>
      </c>
      <c r="B4" s="3"/>
      <c r="C4" s="3"/>
      <c r="D4" s="3"/>
      <c r="E4" s="3"/>
      <c r="F4" s="3" t="s">
        <v>2</v>
      </c>
      <c r="G4" s="3"/>
      <c r="H4" s="3"/>
      <c r="I4" s="3"/>
      <c r="J4" s="3"/>
    </row>
    <row r="5" spans="1:10" x14ac:dyDescent="0.3">
      <c r="A5" t="s">
        <v>6</v>
      </c>
      <c r="B5" t="s">
        <v>4</v>
      </c>
      <c r="C5" t="s">
        <v>5</v>
      </c>
      <c r="E5" s="2" t="s">
        <v>8</v>
      </c>
      <c r="F5" s="2"/>
      <c r="G5" s="2" t="s">
        <v>7</v>
      </c>
      <c r="H5" s="2"/>
    </row>
    <row r="6" spans="1:10" x14ac:dyDescent="0.3">
      <c r="A6" s="1">
        <v>45962</v>
      </c>
      <c r="B6" t="str">
        <f>TEXT(A6,"dddd")</f>
        <v>Saturday</v>
      </c>
      <c r="C6" t="str">
        <f>IF(TEXT($B6,"dddd")="Sunday","A","P")</f>
        <v>P</v>
      </c>
      <c r="E6" s="2"/>
      <c r="F6" s="2"/>
    </row>
    <row r="7" spans="1:10" x14ac:dyDescent="0.3">
      <c r="A7" s="1">
        <f>A6+1</f>
        <v>45963</v>
      </c>
      <c r="B7" t="str">
        <f>TEXT(A7,"dddd")</f>
        <v>Sunday</v>
      </c>
      <c r="C7" t="str">
        <f>IF(TEXT($B7,"dddd")="Sunday","A","P")</f>
        <v>A</v>
      </c>
    </row>
    <row r="8" spans="1:10" x14ac:dyDescent="0.3">
      <c r="A8" s="1">
        <f t="shared" ref="A8:A36" si="0">A7+1</f>
        <v>45964</v>
      </c>
      <c r="B8" t="str">
        <f>TEXT(A8,"dddd")</f>
        <v>Monday</v>
      </c>
      <c r="C8" t="str">
        <f t="shared" ref="C8:C26" si="1">IF(TEXT(B8,"dddd")="Sunday","A","P")</f>
        <v>P</v>
      </c>
    </row>
    <row r="9" spans="1:10" x14ac:dyDescent="0.3">
      <c r="A9" s="1">
        <f t="shared" si="0"/>
        <v>45965</v>
      </c>
      <c r="B9" t="str">
        <f>TEXT(A9,"dddd")</f>
        <v>Tuesday</v>
      </c>
      <c r="C9" t="str">
        <f t="shared" si="1"/>
        <v>P</v>
      </c>
    </row>
    <row r="10" spans="1:10" x14ac:dyDescent="0.3">
      <c r="A10" s="1">
        <f t="shared" si="0"/>
        <v>45966</v>
      </c>
      <c r="B10" t="str">
        <f>TEXT(A10,"dddd")</f>
        <v>Wednesday</v>
      </c>
      <c r="C10" t="s">
        <v>10</v>
      </c>
    </row>
    <row r="11" spans="1:10" x14ac:dyDescent="0.3">
      <c r="A11" s="1">
        <f t="shared" si="0"/>
        <v>45967</v>
      </c>
      <c r="B11" t="str">
        <f>TEXT(A11,"dddd")</f>
        <v>Thursday</v>
      </c>
      <c r="C11" t="str">
        <f t="shared" si="1"/>
        <v>P</v>
      </c>
    </row>
    <row r="12" spans="1:10" x14ac:dyDescent="0.3">
      <c r="A12" s="1">
        <f t="shared" si="0"/>
        <v>45968</v>
      </c>
      <c r="B12" t="str">
        <f>TEXT(A12,"dddd")</f>
        <v>Friday</v>
      </c>
      <c r="C12" t="str">
        <f t="shared" si="1"/>
        <v>P</v>
      </c>
    </row>
    <row r="13" spans="1:10" x14ac:dyDescent="0.3">
      <c r="A13" s="1">
        <f t="shared" si="0"/>
        <v>45969</v>
      </c>
      <c r="B13" t="str">
        <f>TEXT(A13,"dddd")</f>
        <v>Saturday</v>
      </c>
      <c r="C13" t="str">
        <f t="shared" si="1"/>
        <v>P</v>
      </c>
    </row>
    <row r="14" spans="1:10" x14ac:dyDescent="0.3">
      <c r="A14" s="1">
        <f t="shared" si="0"/>
        <v>45970</v>
      </c>
      <c r="B14" t="str">
        <f>TEXT(A14,"dddd")</f>
        <v>Sunday</v>
      </c>
      <c r="C14" t="str">
        <f t="shared" si="1"/>
        <v>A</v>
      </c>
    </row>
    <row r="15" spans="1:10" x14ac:dyDescent="0.3">
      <c r="A15" s="1">
        <f t="shared" si="0"/>
        <v>45971</v>
      </c>
      <c r="B15" t="str">
        <f>TEXT(A15,"dddd")</f>
        <v>Monday</v>
      </c>
      <c r="C15" t="str">
        <f t="shared" si="1"/>
        <v>P</v>
      </c>
    </row>
    <row r="16" spans="1:10" x14ac:dyDescent="0.3">
      <c r="A16" s="1">
        <f t="shared" si="0"/>
        <v>45972</v>
      </c>
      <c r="B16" t="str">
        <f>TEXT(A16,"dddd")</f>
        <v>Tuesday</v>
      </c>
      <c r="C16" t="str">
        <f t="shared" si="1"/>
        <v>P</v>
      </c>
      <c r="E16" s="2"/>
      <c r="F16" s="2"/>
    </row>
    <row r="17" spans="1:3" x14ac:dyDescent="0.3">
      <c r="A17" s="1">
        <f t="shared" si="0"/>
        <v>45973</v>
      </c>
      <c r="B17" t="str">
        <f>TEXT(A17,"dddd")</f>
        <v>Wednesday</v>
      </c>
      <c r="C17" t="s">
        <v>10</v>
      </c>
    </row>
    <row r="18" spans="1:3" x14ac:dyDescent="0.3">
      <c r="A18" s="1">
        <f t="shared" si="0"/>
        <v>45974</v>
      </c>
      <c r="B18" t="str">
        <f>TEXT(A18,"dddd")</f>
        <v>Thursday</v>
      </c>
      <c r="C18" t="str">
        <f t="shared" si="1"/>
        <v>P</v>
      </c>
    </row>
    <row r="19" spans="1:3" x14ac:dyDescent="0.3">
      <c r="A19" s="1">
        <f t="shared" si="0"/>
        <v>45975</v>
      </c>
      <c r="B19" t="str">
        <f>TEXT(A19,"dddd")</f>
        <v>Friday</v>
      </c>
      <c r="C19" t="str">
        <f t="shared" si="1"/>
        <v>P</v>
      </c>
    </row>
    <row r="20" spans="1:3" x14ac:dyDescent="0.3">
      <c r="A20" s="1">
        <f t="shared" si="0"/>
        <v>45976</v>
      </c>
      <c r="B20" t="str">
        <f>TEXT(A20,"dddd")</f>
        <v>Saturday</v>
      </c>
      <c r="C20" t="str">
        <f t="shared" si="1"/>
        <v>P</v>
      </c>
    </row>
    <row r="21" spans="1:3" x14ac:dyDescent="0.3">
      <c r="A21" s="1">
        <f t="shared" si="0"/>
        <v>45977</v>
      </c>
      <c r="B21" t="str">
        <f>TEXT(A21,"dddd")</f>
        <v>Sunday</v>
      </c>
      <c r="C21" t="str">
        <f t="shared" si="1"/>
        <v>A</v>
      </c>
    </row>
    <row r="22" spans="1:3" x14ac:dyDescent="0.3">
      <c r="A22" s="1">
        <f t="shared" si="0"/>
        <v>45978</v>
      </c>
      <c r="B22" t="str">
        <f>TEXT(A22,"dddd")</f>
        <v>Monday</v>
      </c>
      <c r="C22" t="str">
        <f t="shared" si="1"/>
        <v>P</v>
      </c>
    </row>
    <row r="23" spans="1:3" x14ac:dyDescent="0.3">
      <c r="A23" s="1">
        <f t="shared" si="0"/>
        <v>45979</v>
      </c>
      <c r="B23" t="str">
        <f>TEXT(A23,"dddd")</f>
        <v>Tuesday</v>
      </c>
      <c r="C23" t="str">
        <f t="shared" si="1"/>
        <v>P</v>
      </c>
    </row>
    <row r="24" spans="1:3" x14ac:dyDescent="0.3">
      <c r="A24" s="1">
        <f t="shared" si="0"/>
        <v>45980</v>
      </c>
      <c r="B24" t="str">
        <f>TEXT(A24,"dddd")</f>
        <v>Wednesday</v>
      </c>
      <c r="C24" t="str">
        <f t="shared" si="1"/>
        <v>P</v>
      </c>
    </row>
    <row r="25" spans="1:3" x14ac:dyDescent="0.3">
      <c r="A25" s="1">
        <f t="shared" si="0"/>
        <v>45981</v>
      </c>
      <c r="B25" t="str">
        <f>TEXT(A25,"dddd")</f>
        <v>Thursday</v>
      </c>
      <c r="C25" t="str">
        <f t="shared" si="1"/>
        <v>P</v>
      </c>
    </row>
    <row r="26" spans="1:3" x14ac:dyDescent="0.3">
      <c r="A26" s="1">
        <f t="shared" si="0"/>
        <v>45982</v>
      </c>
      <c r="B26" t="str">
        <f>TEXT(A26,"dddd")</f>
        <v>Friday</v>
      </c>
      <c r="C26" t="str">
        <f t="shared" si="1"/>
        <v>P</v>
      </c>
    </row>
    <row r="27" spans="1:3" x14ac:dyDescent="0.3">
      <c r="A27" s="1">
        <f t="shared" si="0"/>
        <v>45983</v>
      </c>
      <c r="B27" t="str">
        <f>TEXT(A27,"dddd")</f>
        <v>Saturday</v>
      </c>
    </row>
    <row r="28" spans="1:3" x14ac:dyDescent="0.3">
      <c r="A28" s="1">
        <f t="shared" si="0"/>
        <v>45984</v>
      </c>
      <c r="B28" t="str">
        <f>TEXT(A28,"dddd")</f>
        <v>Sunday</v>
      </c>
    </row>
    <row r="29" spans="1:3" x14ac:dyDescent="0.3">
      <c r="A29" s="1">
        <f t="shared" si="0"/>
        <v>45985</v>
      </c>
      <c r="B29" t="str">
        <f>TEXT(A29,"dddd")</f>
        <v>Monday</v>
      </c>
    </row>
    <row r="30" spans="1:3" x14ac:dyDescent="0.3">
      <c r="A30" s="1">
        <f t="shared" si="0"/>
        <v>45986</v>
      </c>
      <c r="B30" t="str">
        <f>TEXT(A30,"dddd")</f>
        <v>Tuesday</v>
      </c>
    </row>
    <row r="31" spans="1:3" x14ac:dyDescent="0.3">
      <c r="A31" s="1">
        <f t="shared" si="0"/>
        <v>45987</v>
      </c>
      <c r="B31" t="str">
        <f>TEXT(A31,"dddd")</f>
        <v>Wednesday</v>
      </c>
    </row>
    <row r="32" spans="1:3" x14ac:dyDescent="0.3">
      <c r="A32" s="1">
        <f t="shared" si="0"/>
        <v>45988</v>
      </c>
      <c r="B32" t="str">
        <f>TEXT(A32,"dddd")</f>
        <v>Thursday</v>
      </c>
    </row>
    <row r="33" spans="1:8" x14ac:dyDescent="0.3">
      <c r="A33" s="1">
        <f t="shared" si="0"/>
        <v>45989</v>
      </c>
      <c r="B33" t="str">
        <f>TEXT(A33,"dddd")</f>
        <v>Friday</v>
      </c>
    </row>
    <row r="34" spans="1:8" x14ac:dyDescent="0.3">
      <c r="A34" s="1">
        <f t="shared" si="0"/>
        <v>45990</v>
      </c>
      <c r="B34" t="str">
        <f>TEXT(A34,"dddd")</f>
        <v>Saturday</v>
      </c>
    </row>
    <row r="35" spans="1:8" x14ac:dyDescent="0.3">
      <c r="A35" s="1">
        <f t="shared" si="0"/>
        <v>45991</v>
      </c>
      <c r="B35" t="str">
        <f>TEXT(A35,"dddd")</f>
        <v>Sunday</v>
      </c>
    </row>
    <row r="36" spans="1:8" x14ac:dyDescent="0.3">
      <c r="A36" s="1">
        <f t="shared" si="0"/>
        <v>45992</v>
      </c>
      <c r="B36" t="str">
        <f>TEXT(A36,"dddd")</f>
        <v>Monday</v>
      </c>
      <c r="E36" s="2">
        <f>COUNTIF(C6:C36, "P")</f>
        <v>18</v>
      </c>
      <c r="F36" s="2" t="s">
        <v>13</v>
      </c>
      <c r="G36">
        <f>COUNTIF(C6:C36, "P")*500</f>
        <v>9000</v>
      </c>
      <c r="H36" t="s">
        <v>12</v>
      </c>
    </row>
    <row r="38" spans="1:8" x14ac:dyDescent="0.3">
      <c r="A38" t="s">
        <v>15</v>
      </c>
      <c r="C38" t="s">
        <v>20</v>
      </c>
      <c r="D38" t="s">
        <v>17</v>
      </c>
      <c r="E38" t="s">
        <v>19</v>
      </c>
      <c r="G38" t="s">
        <v>21</v>
      </c>
    </row>
    <row r="39" spans="1:8" x14ac:dyDescent="0.3">
      <c r="A39" t="s">
        <v>18</v>
      </c>
      <c r="C39">
        <v>5000</v>
      </c>
      <c r="D39">
        <v>16000</v>
      </c>
      <c r="E39">
        <v>9000</v>
      </c>
      <c r="G39">
        <f>(C39+D39+E39)</f>
        <v>30000</v>
      </c>
    </row>
    <row r="40" spans="1:8" x14ac:dyDescent="0.3">
      <c r="A40" t="s">
        <v>16</v>
      </c>
    </row>
    <row r="42" spans="1:8" x14ac:dyDescent="0.3">
      <c r="A42" t="s">
        <v>22</v>
      </c>
      <c r="D42">
        <v>15000</v>
      </c>
      <c r="F42" t="s">
        <v>23</v>
      </c>
      <c r="G42">
        <f>(G39-D42)</f>
        <v>15000</v>
      </c>
    </row>
    <row r="44" spans="1:8" x14ac:dyDescent="0.3">
      <c r="A44" t="s">
        <v>24</v>
      </c>
    </row>
  </sheetData>
  <mergeCells count="5">
    <mergeCell ref="A1:J1"/>
    <mergeCell ref="A2:J2"/>
    <mergeCell ref="A3:J3"/>
    <mergeCell ref="A4:E4"/>
    <mergeCell ref="F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 FOR SEP 2025</vt:lpstr>
      <vt:lpstr>SALARY FOR OCT 2025</vt:lpstr>
      <vt:lpstr>SALARY FOR NOV 2025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2025-11-21T09:28:24Z</dcterms:modified>
</cp:coreProperties>
</file>