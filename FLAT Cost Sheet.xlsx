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I6" i="1" s="1"/>
  <c r="G7" i="1"/>
  <c r="I7" i="1" s="1"/>
  <c r="G5" i="1"/>
  <c r="I5" i="1" s="1"/>
  <c r="J6" i="1" l="1"/>
  <c r="L6" i="1"/>
  <c r="M6" i="1" s="1"/>
  <c r="L5" i="1"/>
  <c r="J5" i="1"/>
  <c r="M5" i="1" s="1"/>
  <c r="J7" i="1"/>
  <c r="L7" i="1"/>
  <c r="M7" i="1" l="1"/>
</calcChain>
</file>

<file path=xl/sharedStrings.xml><?xml version="1.0" encoding="utf-8"?>
<sst xmlns="http://schemas.openxmlformats.org/spreadsheetml/2006/main" count="17" uniqueCount="16">
  <si>
    <t>RAVI ADARA, Kondhwa</t>
  </si>
  <si>
    <t>C.T.S:-37 SR NO,PARGE NAGAR KONDHWA KHURD,PUNE:-411048.</t>
  </si>
  <si>
    <t>TYPES OF FLAT</t>
  </si>
  <si>
    <t>Sr No</t>
  </si>
  <si>
    <t>2BHK</t>
  </si>
  <si>
    <t>3BHK</t>
  </si>
  <si>
    <t xml:space="preserve">CARPET IN SQFT </t>
  </si>
  <si>
    <t>SALEBLE AREA IN SQFT</t>
  </si>
  <si>
    <t>FLAT COAST</t>
  </si>
  <si>
    <t>INFRA CHARGES</t>
  </si>
  <si>
    <t>AGREEMENT COAST</t>
  </si>
  <si>
    <t>STAMP DUTY(7%)</t>
  </si>
  <si>
    <t>REGISTRATION</t>
  </si>
  <si>
    <t>GST(5%)</t>
  </si>
  <si>
    <t>GRAND TOTAL</t>
  </si>
  <si>
    <t>Shree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</si>
</sst>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24"/>
      <color theme="1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7"/>
  <sheetViews>
    <sheetView tabSelected="1" zoomScale="130" zoomScaleNormal="130" workbookViewId="0">
      <selection activeCell="J11" sqref="J11"/>
    </sheetView>
  </sheetViews>
  <sheetFormatPr defaultRowHeight="13.8" x14ac:dyDescent="0.25"/>
  <cols>
    <col min="1" max="2" width="8.88671875" style="3"/>
    <col min="3" max="3" width="9.109375" style="3" bestFit="1" customWidth="1"/>
    <col min="4" max="4" width="8.88671875" style="3"/>
    <col min="5" max="5" width="10.44140625" style="3" customWidth="1"/>
    <col min="6" max="6" width="11.109375" style="3" customWidth="1"/>
    <col min="7" max="7" width="11.6640625" style="3" bestFit="1" customWidth="1"/>
    <col min="8" max="8" width="14.33203125" style="3" customWidth="1"/>
    <col min="9" max="9" width="15.44140625" style="3" customWidth="1"/>
    <col min="10" max="10" width="12.44140625" style="3" customWidth="1"/>
    <col min="11" max="11" width="18" style="3" customWidth="1"/>
    <col min="12" max="12" width="10.44140625" style="3" customWidth="1"/>
    <col min="13" max="13" width="12.5546875" style="3" customWidth="1"/>
    <col min="14" max="16384" width="8.88671875" style="3"/>
  </cols>
  <sheetData>
    <row r="1" spans="3:13" ht="34.200000000000003" thickBot="1" x14ac:dyDescent="0.7">
      <c r="C1" s="21" t="s">
        <v>15</v>
      </c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3:13" ht="21" thickBot="1" x14ac:dyDescent="0.4">
      <c r="C2" s="12" t="s">
        <v>0</v>
      </c>
      <c r="D2" s="13"/>
      <c r="E2" s="13"/>
      <c r="F2" s="13"/>
      <c r="G2" s="13"/>
      <c r="H2" s="13"/>
      <c r="I2" s="13"/>
      <c r="J2" s="13"/>
      <c r="K2" s="13"/>
      <c r="L2" s="13"/>
      <c r="M2" s="14"/>
    </row>
    <row r="3" spans="3:13" ht="18" thickBot="1" x14ac:dyDescent="0.35">
      <c r="C3" s="5" t="s">
        <v>1</v>
      </c>
      <c r="D3" s="6"/>
      <c r="E3" s="6"/>
      <c r="F3" s="6"/>
      <c r="G3" s="6"/>
      <c r="H3" s="6"/>
      <c r="I3" s="6"/>
      <c r="J3" s="6"/>
      <c r="K3" s="6"/>
      <c r="L3" s="6"/>
      <c r="M3" s="7"/>
    </row>
    <row r="4" spans="3:13" s="1" customFormat="1" ht="47.4" thickBot="1" x14ac:dyDescent="0.35">
      <c r="C4" s="8" t="s">
        <v>3</v>
      </c>
      <c r="D4" s="2" t="s">
        <v>2</v>
      </c>
      <c r="E4" s="9" t="s">
        <v>6</v>
      </c>
      <c r="F4" s="2" t="s">
        <v>7</v>
      </c>
      <c r="G4" s="9" t="s">
        <v>8</v>
      </c>
      <c r="H4" s="2" t="s">
        <v>9</v>
      </c>
      <c r="I4" s="9" t="s">
        <v>10</v>
      </c>
      <c r="J4" s="2" t="s">
        <v>11</v>
      </c>
      <c r="K4" s="9" t="s">
        <v>12</v>
      </c>
      <c r="L4" s="2" t="s">
        <v>13</v>
      </c>
      <c r="M4" s="9" t="s">
        <v>14</v>
      </c>
    </row>
    <row r="5" spans="3:13" s="4" customFormat="1" ht="18.600000000000001" thickBot="1" x14ac:dyDescent="0.4">
      <c r="C5" s="15">
        <v>1</v>
      </c>
      <c r="D5" s="16" t="s">
        <v>4</v>
      </c>
      <c r="E5" s="17">
        <v>815</v>
      </c>
      <c r="F5" s="16">
        <v>1100</v>
      </c>
      <c r="G5" s="20">
        <f>+F5*6500</f>
        <v>7150000</v>
      </c>
      <c r="H5" s="11">
        <v>400000</v>
      </c>
      <c r="I5" s="19">
        <f>+G5+H5</f>
        <v>7550000</v>
      </c>
      <c r="J5" s="11">
        <f>+I5*7%</f>
        <v>528500</v>
      </c>
      <c r="K5" s="10">
        <v>31000</v>
      </c>
      <c r="L5" s="11">
        <f>+I5*5%</f>
        <v>377500</v>
      </c>
      <c r="M5" s="18">
        <f>+I5+J5+K5+L5</f>
        <v>8487000</v>
      </c>
    </row>
    <row r="6" spans="3:13" s="4" customFormat="1" ht="18.600000000000001" thickBot="1" x14ac:dyDescent="0.4">
      <c r="C6" s="15">
        <v>2</v>
      </c>
      <c r="D6" s="16" t="s">
        <v>4</v>
      </c>
      <c r="E6" s="17">
        <v>913</v>
      </c>
      <c r="F6" s="16">
        <v>1233</v>
      </c>
      <c r="G6" s="20">
        <f t="shared" ref="G6:G7" si="0">+F6*6500</f>
        <v>8014500</v>
      </c>
      <c r="H6" s="11">
        <v>400000</v>
      </c>
      <c r="I6" s="19">
        <f t="shared" ref="I6:I7" si="1">+G6+H6</f>
        <v>8414500</v>
      </c>
      <c r="J6" s="11">
        <f t="shared" ref="J6:J7" si="2">+I6*7%</f>
        <v>589015</v>
      </c>
      <c r="K6" s="10">
        <v>31000</v>
      </c>
      <c r="L6" s="11">
        <f t="shared" ref="L6:L7" si="3">+I6*5%</f>
        <v>420725</v>
      </c>
      <c r="M6" s="18">
        <f t="shared" ref="M6" si="4">+I6+J6+K6+L6</f>
        <v>9455240</v>
      </c>
    </row>
    <row r="7" spans="3:13" s="4" customFormat="1" ht="18.600000000000001" thickBot="1" x14ac:dyDescent="0.4">
      <c r="C7" s="15">
        <v>3</v>
      </c>
      <c r="D7" s="16" t="s">
        <v>5</v>
      </c>
      <c r="E7" s="17">
        <v>1171</v>
      </c>
      <c r="F7" s="16">
        <v>1581</v>
      </c>
      <c r="G7" s="20">
        <f t="shared" si="0"/>
        <v>10276500</v>
      </c>
      <c r="H7" s="11">
        <v>600000</v>
      </c>
      <c r="I7" s="19">
        <f t="shared" si="1"/>
        <v>10876500</v>
      </c>
      <c r="J7" s="11">
        <f t="shared" si="2"/>
        <v>761355.00000000012</v>
      </c>
      <c r="K7" s="10">
        <v>31000</v>
      </c>
      <c r="L7" s="11">
        <f t="shared" si="3"/>
        <v>543825</v>
      </c>
      <c r="M7" s="18">
        <f>+I7+J7+K7+L7</f>
        <v>12212680</v>
      </c>
    </row>
  </sheetData>
  <mergeCells count="3">
    <mergeCell ref="C1:M1"/>
    <mergeCell ref="C2:M2"/>
    <mergeCell ref="C3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2025-10-27T09:51:15Z</dcterms:modified>
</cp:coreProperties>
</file>