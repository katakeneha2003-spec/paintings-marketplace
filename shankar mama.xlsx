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6" i="1" l="1"/>
  <c r="Q27" i="1" s="1"/>
  <c r="H25" i="1"/>
  <c r="H24" i="1"/>
  <c r="Q25" i="1"/>
  <c r="N23" i="1"/>
  <c r="N22" i="1"/>
  <c r="N21" i="1"/>
  <c r="Q20" i="1"/>
  <c r="S16" i="1"/>
  <c r="N10" i="1"/>
  <c r="Q10" i="1" s="1"/>
  <c r="N14" i="1" s="1"/>
  <c r="Q19" i="1"/>
  <c r="N4" i="1"/>
  <c r="Q4" i="1" s="1"/>
  <c r="H18" i="1"/>
  <c r="E21" i="1" s="1"/>
  <c r="J21" i="1" s="1"/>
  <c r="H11" i="1"/>
  <c r="E15" i="1" s="1"/>
  <c r="J15" i="1" s="1"/>
  <c r="E4" i="1"/>
  <c r="H4" i="1" s="1"/>
  <c r="S22" i="1" l="1"/>
  <c r="N12" i="1"/>
  <c r="E13" i="1"/>
  <c r="J13" i="1" s="1"/>
  <c r="N13" i="1"/>
  <c r="S14" i="1"/>
  <c r="E19" i="1"/>
  <c r="J19" i="1" s="1"/>
  <c r="E12" i="1"/>
  <c r="J12" i="1" s="1"/>
  <c r="E20" i="1"/>
  <c r="J20" i="1" s="1"/>
  <c r="E5" i="1"/>
  <c r="J5" i="1" s="1"/>
  <c r="E8" i="1"/>
  <c r="J8" i="1" s="1"/>
  <c r="E7" i="1"/>
  <c r="J7" i="1" s="1"/>
  <c r="E6" i="1"/>
  <c r="J6" i="1" s="1"/>
  <c r="S12" i="1"/>
  <c r="S17" i="1" s="1"/>
  <c r="S21" i="1"/>
  <c r="E14" i="1"/>
  <c r="J14" i="1" s="1"/>
  <c r="J16" i="1" s="1"/>
  <c r="S13" i="1"/>
  <c r="S23" i="1"/>
  <c r="N15" i="1"/>
  <c r="S15" i="1" s="1"/>
  <c r="N6" i="1"/>
  <c r="S6" i="1" s="1"/>
  <c r="N8" i="1"/>
  <c r="S8" i="1" s="1"/>
  <c r="N7" i="1"/>
  <c r="S7" i="1" s="1"/>
  <c r="N5" i="1"/>
  <c r="S5" i="1" s="1"/>
  <c r="J22" i="1" l="1"/>
  <c r="S9" i="1"/>
  <c r="S24" i="1"/>
  <c r="J9" i="1"/>
  <c r="H23" i="1" s="1"/>
</calcChain>
</file>

<file path=xl/sharedStrings.xml><?xml version="1.0" encoding="utf-8"?>
<sst xmlns="http://schemas.openxmlformats.org/spreadsheetml/2006/main" count="49" uniqueCount="22">
  <si>
    <t>Rubble wall</t>
  </si>
  <si>
    <t>length</t>
  </si>
  <si>
    <t>width</t>
  </si>
  <si>
    <t>height</t>
  </si>
  <si>
    <t>quantity</t>
  </si>
  <si>
    <t>Rubble</t>
  </si>
  <si>
    <t>crush sand</t>
  </si>
  <si>
    <t>cement</t>
  </si>
  <si>
    <t>labour</t>
  </si>
  <si>
    <t>Rate</t>
  </si>
  <si>
    <t>block work 9"</t>
  </si>
  <si>
    <t>amount</t>
  </si>
  <si>
    <t>fly ash bricks</t>
  </si>
  <si>
    <t>plaster</t>
  </si>
  <si>
    <t>plaster sand</t>
  </si>
  <si>
    <t>compound wall without block pillar</t>
  </si>
  <si>
    <t>compound wall with block pillar</t>
  </si>
  <si>
    <t>pillar 18" x 18"</t>
  </si>
  <si>
    <t>labour for pillar</t>
  </si>
  <si>
    <t>pillar plaster</t>
  </si>
  <si>
    <t>profit 15%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</si>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</sst>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1" xfId="0" applyFill="1" applyBorder="1" applyAlignment="1"/>
    <xf numFmtId="0" fontId="0" fillId="4" borderId="7" xfId="0" applyFill="1" applyBorder="1"/>
    <xf numFmtId="0" fontId="0" fillId="4" borderId="8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0" borderId="23" xfId="0" applyBorder="1"/>
    <xf numFmtId="0" fontId="0" fillId="0" borderId="24" xfId="0" applyBorder="1"/>
    <xf numFmtId="0" fontId="0" fillId="5" borderId="3" xfId="0" applyFill="1" applyBorder="1"/>
    <xf numFmtId="0" fontId="0" fillId="5" borderId="4" xfId="0" applyFill="1" applyBorder="1"/>
    <xf numFmtId="0" fontId="0" fillId="4" borderId="1" xfId="0" applyFill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3" borderId="29" xfId="0" applyFill="1" applyBorder="1"/>
    <xf numFmtId="0" fontId="0" fillId="3" borderId="30" xfId="0" applyFill="1" applyBorder="1"/>
    <xf numFmtId="1" fontId="0" fillId="3" borderId="6" xfId="0" applyNumberFormat="1" applyFill="1" applyBorder="1"/>
    <xf numFmtId="1" fontId="1" fillId="3" borderId="9" xfId="0" applyNumberFormat="1" applyFont="1" applyFill="1" applyBorder="1"/>
    <xf numFmtId="1" fontId="0" fillId="4" borderId="6" xfId="0" applyNumberFormat="1" applyFill="1" applyBorder="1"/>
    <xf numFmtId="1" fontId="1" fillId="4" borderId="9" xfId="0" applyNumberFormat="1" applyFont="1" applyFill="1" applyBorder="1"/>
    <xf numFmtId="1" fontId="0" fillId="5" borderId="6" xfId="0" applyNumberFormat="1" applyFill="1" applyBorder="1"/>
    <xf numFmtId="1" fontId="1" fillId="5" borderId="9" xfId="0" applyNumberFormat="1" applyFont="1" applyFill="1" applyBorder="1"/>
    <xf numFmtId="2" fontId="0" fillId="4" borderId="1" xfId="0" applyNumberFormat="1" applyFill="1" applyBorder="1" applyAlignment="1">
      <alignment horizontal="center"/>
    </xf>
    <xf numFmtId="1" fontId="1" fillId="3" borderId="31" xfId="0" applyNumberFormat="1" applyFont="1" applyFill="1" applyBorder="1"/>
    <xf numFmtId="0" fontId="1" fillId="6" borderId="20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1" fontId="1" fillId="6" borderId="21" xfId="0" applyNumberFormat="1" applyFont="1" applyFill="1" applyBorder="1" applyAlignment="1">
      <alignment horizontal="center"/>
    </xf>
    <xf numFmtId="1" fontId="1" fillId="6" borderId="22" xfId="0" applyNumberFormat="1" applyFont="1" applyFill="1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1" fontId="1" fillId="7" borderId="19" xfId="0" applyNumberFormat="1" applyFont="1" applyFill="1" applyBorder="1" applyAlignment="1">
      <alignment horizontal="center"/>
    </xf>
    <xf numFmtId="1" fontId="1" fillId="7" borderId="33" xfId="0" applyNumberFormat="1" applyFont="1" applyFill="1" applyBorder="1" applyAlignment="1">
      <alignment horizontal="center"/>
    </xf>
    <xf numFmtId="1" fontId="1" fillId="2" borderId="28" xfId="0" applyNumberFormat="1" applyFont="1" applyFill="1" applyBorder="1" applyAlignment="1">
      <alignment horizontal="center"/>
    </xf>
    <xf numFmtId="1" fontId="1" fillId="2" borderId="21" xfId="0" applyNumberFormat="1" applyFont="1" applyFill="1" applyBorder="1" applyAlignment="1">
      <alignment horizontal="center"/>
    </xf>
    <xf numFmtId="1" fontId="1" fillId="2" borderId="22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" fontId="1" fillId="2" borderId="24" xfId="0" applyNumberFormat="1" applyFont="1" applyFill="1" applyBorder="1" applyAlignment="1">
      <alignment horizontal="center"/>
    </xf>
    <xf numFmtId="1" fontId="1" fillId="2" borderId="25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S27"/>
  <sheetViews>
    <sheetView tabSelected="1" workbookViewId="0">
      <selection activeCell="V25" sqref="V25"/>
    </sheetView>
  </sheetViews>
  <sheetFormatPr defaultRowHeight="14.4" x14ac:dyDescent="0.3"/>
  <cols>
    <col min="3" max="3" width="11.33203125" bestFit="1" customWidth="1"/>
    <col min="10" max="10" width="9.5546875" bestFit="1" customWidth="1"/>
  </cols>
  <sheetData>
    <row r="1" spans="3:19" ht="15" thickBot="1" x14ac:dyDescent="0.35"/>
    <row r="2" spans="3:19" ht="15" thickBot="1" x14ac:dyDescent="0.35">
      <c r="C2" s="70" t="s">
        <v>15</v>
      </c>
      <c r="D2" s="71"/>
      <c r="E2" s="71"/>
      <c r="F2" s="71"/>
      <c r="G2" s="71"/>
      <c r="H2" s="71"/>
      <c r="I2" s="71"/>
      <c r="J2" s="72"/>
      <c r="L2" s="75" t="s">
        <v>16</v>
      </c>
      <c r="M2" s="76"/>
      <c r="N2" s="76"/>
      <c r="O2" s="76"/>
      <c r="P2" s="76"/>
      <c r="Q2" s="76"/>
      <c r="R2" s="76"/>
      <c r="S2" s="77"/>
    </row>
    <row r="3" spans="3:19" ht="15" thickBot="1" x14ac:dyDescent="0.35">
      <c r="C3" s="1"/>
      <c r="D3" s="2"/>
      <c r="E3" s="2" t="s">
        <v>1</v>
      </c>
      <c r="F3" s="2" t="s">
        <v>2</v>
      </c>
      <c r="G3" s="2" t="s">
        <v>3</v>
      </c>
      <c r="H3" s="2" t="s">
        <v>4</v>
      </c>
      <c r="I3" s="2" t="s">
        <v>9</v>
      </c>
      <c r="J3" s="3" t="s">
        <v>11</v>
      </c>
      <c r="L3" s="34"/>
      <c r="M3" s="35"/>
      <c r="N3" s="35" t="s">
        <v>1</v>
      </c>
      <c r="O3" s="35" t="s">
        <v>2</v>
      </c>
      <c r="P3" s="35" t="s">
        <v>3</v>
      </c>
      <c r="Q3" s="35" t="s">
        <v>4</v>
      </c>
      <c r="R3" s="35" t="s">
        <v>9</v>
      </c>
      <c r="S3" s="36" t="s">
        <v>11</v>
      </c>
    </row>
    <row r="4" spans="3:19" x14ac:dyDescent="0.3">
      <c r="C4" s="78" t="s">
        <v>0</v>
      </c>
      <c r="D4" s="79"/>
      <c r="E4" s="10">
        <f>177+155+77+77</f>
        <v>486</v>
      </c>
      <c r="F4" s="10">
        <v>2</v>
      </c>
      <c r="G4" s="10">
        <v>3</v>
      </c>
      <c r="H4" s="10">
        <f>E4*F4*G4</f>
        <v>2916</v>
      </c>
      <c r="I4" s="10"/>
      <c r="J4" s="11"/>
      <c r="L4" s="78" t="s">
        <v>0</v>
      </c>
      <c r="M4" s="79"/>
      <c r="N4" s="10">
        <f>177+155+77+77</f>
        <v>486</v>
      </c>
      <c r="O4" s="10">
        <v>2</v>
      </c>
      <c r="P4" s="10">
        <v>3</v>
      </c>
      <c r="Q4" s="10">
        <f>N4*O4*P4</f>
        <v>2916</v>
      </c>
      <c r="R4" s="10"/>
      <c r="S4" s="11"/>
    </row>
    <row r="5" spans="3:19" x14ac:dyDescent="0.3">
      <c r="C5" s="12" t="s">
        <v>5</v>
      </c>
      <c r="D5" s="13"/>
      <c r="E5" s="65">
        <f>H4*1.25/100</f>
        <v>36.450000000000003</v>
      </c>
      <c r="F5" s="65"/>
      <c r="G5" s="65"/>
      <c r="H5" s="65"/>
      <c r="I5" s="13">
        <v>2000</v>
      </c>
      <c r="J5" s="39">
        <f>E5*I5</f>
        <v>72900</v>
      </c>
      <c r="L5" s="12" t="s">
        <v>5</v>
      </c>
      <c r="M5" s="13"/>
      <c r="N5" s="65">
        <f>Q4*1.25/100</f>
        <v>36.450000000000003</v>
      </c>
      <c r="O5" s="65"/>
      <c r="P5" s="65"/>
      <c r="Q5" s="65"/>
      <c r="R5" s="13">
        <v>2000</v>
      </c>
      <c r="S5" s="39">
        <f>N5*R5</f>
        <v>72900</v>
      </c>
    </row>
    <row r="6" spans="3:19" x14ac:dyDescent="0.3">
      <c r="C6" s="12" t="s">
        <v>6</v>
      </c>
      <c r="D6" s="13"/>
      <c r="E6" s="80">
        <f>H4*0.4/100</f>
        <v>11.664000000000001</v>
      </c>
      <c r="F6" s="80"/>
      <c r="G6" s="80"/>
      <c r="H6" s="80"/>
      <c r="I6" s="13">
        <v>3000</v>
      </c>
      <c r="J6" s="39">
        <f t="shared" ref="J6:J8" si="0">E6*I6</f>
        <v>34992.000000000007</v>
      </c>
      <c r="L6" s="12" t="s">
        <v>6</v>
      </c>
      <c r="M6" s="13"/>
      <c r="N6" s="80">
        <f>Q4*0.4/100</f>
        <v>11.664000000000001</v>
      </c>
      <c r="O6" s="80"/>
      <c r="P6" s="80"/>
      <c r="Q6" s="80"/>
      <c r="R6" s="13">
        <v>3000</v>
      </c>
      <c r="S6" s="39">
        <f t="shared" ref="S6:S8" si="1">N6*R6</f>
        <v>34992.000000000007</v>
      </c>
    </row>
    <row r="7" spans="3:19" x14ac:dyDescent="0.3">
      <c r="C7" s="12" t="s">
        <v>7</v>
      </c>
      <c r="D7" s="13"/>
      <c r="E7" s="65">
        <f>H4*3/100</f>
        <v>87.48</v>
      </c>
      <c r="F7" s="65"/>
      <c r="G7" s="65"/>
      <c r="H7" s="65"/>
      <c r="I7" s="13">
        <v>310</v>
      </c>
      <c r="J7" s="39">
        <f t="shared" si="0"/>
        <v>27118.800000000003</v>
      </c>
      <c r="L7" s="12" t="s">
        <v>7</v>
      </c>
      <c r="M7" s="13"/>
      <c r="N7" s="65">
        <f>Q4*3/100</f>
        <v>87.48</v>
      </c>
      <c r="O7" s="65"/>
      <c r="P7" s="65"/>
      <c r="Q7" s="65"/>
      <c r="R7" s="13">
        <v>310</v>
      </c>
      <c r="S7" s="39">
        <f t="shared" si="1"/>
        <v>27118.800000000003</v>
      </c>
    </row>
    <row r="8" spans="3:19" x14ac:dyDescent="0.3">
      <c r="C8" s="12" t="s">
        <v>8</v>
      </c>
      <c r="D8" s="13"/>
      <c r="E8" s="65">
        <f>H4/100</f>
        <v>29.16</v>
      </c>
      <c r="F8" s="65"/>
      <c r="G8" s="65"/>
      <c r="H8" s="65"/>
      <c r="I8" s="13">
        <v>3500</v>
      </c>
      <c r="J8" s="39">
        <f t="shared" si="0"/>
        <v>102060</v>
      </c>
      <c r="L8" s="12" t="s">
        <v>8</v>
      </c>
      <c r="M8" s="13"/>
      <c r="N8" s="65">
        <f>Q4/100</f>
        <v>29.16</v>
      </c>
      <c r="O8" s="65"/>
      <c r="P8" s="65"/>
      <c r="Q8" s="65"/>
      <c r="R8" s="13">
        <v>3500</v>
      </c>
      <c r="S8" s="39">
        <f t="shared" si="1"/>
        <v>102060</v>
      </c>
    </row>
    <row r="9" spans="3:19" ht="15" thickBot="1" x14ac:dyDescent="0.35">
      <c r="C9" s="14"/>
      <c r="D9" s="15"/>
      <c r="E9" s="15"/>
      <c r="F9" s="15"/>
      <c r="G9" s="15"/>
      <c r="H9" s="15"/>
      <c r="I9" s="15"/>
      <c r="J9" s="40">
        <f>SUM(J5:J8)</f>
        <v>237070.8</v>
      </c>
      <c r="L9" s="37"/>
      <c r="M9" s="38"/>
      <c r="N9" s="38"/>
      <c r="O9" s="38"/>
      <c r="P9" s="38"/>
      <c r="Q9" s="38"/>
      <c r="R9" s="38"/>
      <c r="S9" s="46">
        <f>SUM(S5:S8)</f>
        <v>237070.8</v>
      </c>
    </row>
    <row r="10" spans="3:19" ht="15" thickBot="1" x14ac:dyDescent="0.35">
      <c r="C10" s="4"/>
      <c r="D10" s="5"/>
      <c r="E10" s="5"/>
      <c r="F10" s="5"/>
      <c r="G10" s="5"/>
      <c r="H10" s="5"/>
      <c r="I10" s="5"/>
      <c r="J10" s="6"/>
      <c r="L10" s="66" t="s">
        <v>10</v>
      </c>
      <c r="M10" s="67"/>
      <c r="N10" s="16">
        <f>486-70</f>
        <v>416</v>
      </c>
      <c r="O10" s="16"/>
      <c r="P10" s="16">
        <v>5</v>
      </c>
      <c r="Q10" s="16">
        <f>P10*N10</f>
        <v>2080</v>
      </c>
      <c r="R10" s="16"/>
      <c r="S10" s="17"/>
    </row>
    <row r="11" spans="3:19" x14ac:dyDescent="0.3">
      <c r="C11" s="66" t="s">
        <v>10</v>
      </c>
      <c r="D11" s="67"/>
      <c r="E11" s="16">
        <v>486</v>
      </c>
      <c r="F11" s="16"/>
      <c r="G11" s="16">
        <v>5</v>
      </c>
      <c r="H11" s="16">
        <f>G11*E11</f>
        <v>2430</v>
      </c>
      <c r="I11" s="16"/>
      <c r="J11" s="17"/>
      <c r="L11" s="61" t="s">
        <v>17</v>
      </c>
      <c r="M11" s="62"/>
      <c r="N11" s="19"/>
      <c r="O11" s="19"/>
      <c r="P11" s="19"/>
      <c r="Q11" s="19">
        <v>45</v>
      </c>
      <c r="R11" s="19"/>
      <c r="S11" s="20"/>
    </row>
    <row r="12" spans="3:19" x14ac:dyDescent="0.3">
      <c r="C12" s="18" t="s">
        <v>12</v>
      </c>
      <c r="D12" s="19"/>
      <c r="E12" s="62">
        <f>H11*650/100</f>
        <v>15795</v>
      </c>
      <c r="F12" s="62"/>
      <c r="G12" s="62"/>
      <c r="H12" s="62"/>
      <c r="I12" s="19">
        <v>8.5</v>
      </c>
      <c r="J12" s="41">
        <f>I12*E12</f>
        <v>134257.5</v>
      </c>
      <c r="L12" s="18" t="s">
        <v>12</v>
      </c>
      <c r="M12" s="19"/>
      <c r="N12" s="33">
        <f>(Q10*650/100)+45*120</f>
        <v>18920</v>
      </c>
      <c r="O12" s="33"/>
      <c r="P12" s="33"/>
      <c r="Q12" s="33"/>
      <c r="R12" s="19">
        <v>8.5</v>
      </c>
      <c r="S12" s="41">
        <f>R12*N12</f>
        <v>160820</v>
      </c>
    </row>
    <row r="13" spans="3:19" x14ac:dyDescent="0.3">
      <c r="C13" s="18" t="s">
        <v>6</v>
      </c>
      <c r="D13" s="19"/>
      <c r="E13" s="62">
        <f>H11*20/100/100</f>
        <v>4.8600000000000003</v>
      </c>
      <c r="F13" s="62"/>
      <c r="G13" s="62"/>
      <c r="H13" s="62"/>
      <c r="I13" s="19">
        <v>3000</v>
      </c>
      <c r="J13" s="41">
        <f t="shared" ref="J13:J15" si="2">I13*E13</f>
        <v>14580.000000000002</v>
      </c>
      <c r="L13" s="18" t="s">
        <v>6</v>
      </c>
      <c r="M13" s="19"/>
      <c r="N13" s="45">
        <f>Q10*27/100/100</f>
        <v>5.6160000000000005</v>
      </c>
      <c r="O13" s="33"/>
      <c r="P13" s="33"/>
      <c r="Q13" s="33"/>
      <c r="R13" s="19">
        <v>3000</v>
      </c>
      <c r="S13" s="41">
        <f>R13*N13</f>
        <v>16848</v>
      </c>
    </row>
    <row r="14" spans="3:19" x14ac:dyDescent="0.3">
      <c r="C14" s="18" t="s">
        <v>7</v>
      </c>
      <c r="D14" s="21"/>
      <c r="E14" s="62">
        <f>H11*2.5/100</f>
        <v>60.75</v>
      </c>
      <c r="F14" s="62"/>
      <c r="G14" s="62"/>
      <c r="H14" s="62"/>
      <c r="I14" s="19">
        <v>310</v>
      </c>
      <c r="J14" s="41">
        <f t="shared" si="2"/>
        <v>18832.5</v>
      </c>
      <c r="L14" s="18" t="s">
        <v>7</v>
      </c>
      <c r="M14" s="21"/>
      <c r="N14" s="33">
        <f>(Q10*2.5/100)+45*0.75</f>
        <v>85.75</v>
      </c>
      <c r="O14" s="33"/>
      <c r="P14" s="33"/>
      <c r="Q14" s="33"/>
      <c r="R14" s="19">
        <v>310</v>
      </c>
      <c r="S14" s="41">
        <f>R14*N14</f>
        <v>26582.5</v>
      </c>
    </row>
    <row r="15" spans="3:19" x14ac:dyDescent="0.3">
      <c r="C15" s="18" t="s">
        <v>8</v>
      </c>
      <c r="D15" s="19"/>
      <c r="E15" s="62">
        <f>H11/100</f>
        <v>24.3</v>
      </c>
      <c r="F15" s="62"/>
      <c r="G15" s="62"/>
      <c r="H15" s="62"/>
      <c r="I15" s="19">
        <v>2800</v>
      </c>
      <c r="J15" s="41">
        <f t="shared" si="2"/>
        <v>68040</v>
      </c>
      <c r="L15" s="18" t="s">
        <v>8</v>
      </c>
      <c r="M15" s="19"/>
      <c r="N15" s="33">
        <f>Q10/100</f>
        <v>20.8</v>
      </c>
      <c r="O15" s="33"/>
      <c r="P15" s="33"/>
      <c r="Q15" s="33"/>
      <c r="R15" s="19">
        <v>2800</v>
      </c>
      <c r="S15" s="41">
        <f>R15*N15</f>
        <v>58240</v>
      </c>
    </row>
    <row r="16" spans="3:19" ht="15" thickBot="1" x14ac:dyDescent="0.35">
      <c r="C16" s="22"/>
      <c r="D16" s="23"/>
      <c r="E16" s="23"/>
      <c r="F16" s="23"/>
      <c r="G16" s="23"/>
      <c r="H16" s="23"/>
      <c r="I16" s="23"/>
      <c r="J16" s="42">
        <f>SUM(J12:J15)</f>
        <v>235710</v>
      </c>
      <c r="L16" s="18" t="s">
        <v>18</v>
      </c>
      <c r="M16" s="19"/>
      <c r="N16" s="33">
        <v>45</v>
      </c>
      <c r="O16" s="33"/>
      <c r="P16" s="33"/>
      <c r="Q16" s="33"/>
      <c r="R16" s="19">
        <v>1000</v>
      </c>
      <c r="S16" s="41">
        <f>R16*N16</f>
        <v>45000</v>
      </c>
    </row>
    <row r="17" spans="3:19" ht="15" thickBot="1" x14ac:dyDescent="0.35">
      <c r="C17" s="7"/>
      <c r="D17" s="8"/>
      <c r="E17" s="8"/>
      <c r="F17" s="8"/>
      <c r="G17" s="8"/>
      <c r="H17" s="8"/>
      <c r="I17" s="8"/>
      <c r="J17" s="9"/>
      <c r="L17" s="22"/>
      <c r="M17" s="23"/>
      <c r="N17" s="23"/>
      <c r="O17" s="23"/>
      <c r="P17" s="23"/>
      <c r="Q17" s="23"/>
      <c r="R17" s="23"/>
      <c r="S17" s="42">
        <f>SUM(S12:S16)</f>
        <v>307490.5</v>
      </c>
    </row>
    <row r="18" spans="3:19" ht="15" thickBot="1" x14ac:dyDescent="0.35">
      <c r="C18" s="73" t="s">
        <v>13</v>
      </c>
      <c r="D18" s="74"/>
      <c r="E18" s="31">
        <v>486</v>
      </c>
      <c r="F18" s="31"/>
      <c r="G18" s="31">
        <v>10.5</v>
      </c>
      <c r="H18" s="31">
        <f>G18*E18</f>
        <v>5103</v>
      </c>
      <c r="I18" s="31"/>
      <c r="J18" s="32"/>
      <c r="L18" s="4"/>
      <c r="M18" s="5"/>
      <c r="N18" s="5"/>
      <c r="O18" s="5"/>
      <c r="P18" s="5"/>
      <c r="Q18" s="5"/>
      <c r="R18" s="5"/>
      <c r="S18" s="6"/>
    </row>
    <row r="19" spans="3:19" x14ac:dyDescent="0.3">
      <c r="C19" s="24" t="s">
        <v>14</v>
      </c>
      <c r="D19" s="25"/>
      <c r="E19" s="60">
        <f>H18*18/100/100</f>
        <v>9.1853999999999996</v>
      </c>
      <c r="F19" s="60"/>
      <c r="G19" s="60"/>
      <c r="H19" s="60"/>
      <c r="I19" s="25">
        <v>5800</v>
      </c>
      <c r="J19" s="43">
        <f>I19*E19</f>
        <v>53275.32</v>
      </c>
      <c r="L19" s="63" t="s">
        <v>13</v>
      </c>
      <c r="M19" s="64"/>
      <c r="N19" s="31">
        <v>486</v>
      </c>
      <c r="O19" s="31"/>
      <c r="P19" s="31">
        <v>10.5</v>
      </c>
      <c r="Q19" s="31">
        <f>P19*N19</f>
        <v>5103</v>
      </c>
      <c r="R19" s="31"/>
      <c r="S19" s="32"/>
    </row>
    <row r="20" spans="3:19" x14ac:dyDescent="0.3">
      <c r="C20" s="24" t="s">
        <v>7</v>
      </c>
      <c r="D20" s="25"/>
      <c r="E20" s="60">
        <f>H18*1.5/100</f>
        <v>76.545000000000002</v>
      </c>
      <c r="F20" s="60"/>
      <c r="G20" s="60"/>
      <c r="H20" s="60"/>
      <c r="I20" s="25">
        <v>310</v>
      </c>
      <c r="J20" s="43">
        <f t="shared" ref="J20:J21" si="3">I20*E20</f>
        <v>23728.95</v>
      </c>
      <c r="L20" s="58" t="s">
        <v>19</v>
      </c>
      <c r="M20" s="59"/>
      <c r="N20" s="25">
        <v>45</v>
      </c>
      <c r="O20" s="25"/>
      <c r="P20" s="25"/>
      <c r="Q20" s="25">
        <f>(45*4*0.5*5)+(45*0.5*2*1.5)</f>
        <v>517.5</v>
      </c>
      <c r="R20" s="25"/>
      <c r="S20" s="26"/>
    </row>
    <row r="21" spans="3:19" x14ac:dyDescent="0.3">
      <c r="C21" s="24" t="s">
        <v>8</v>
      </c>
      <c r="D21" s="25"/>
      <c r="E21" s="59">
        <f>H18/100</f>
        <v>51.03</v>
      </c>
      <c r="F21" s="59"/>
      <c r="G21" s="59"/>
      <c r="H21" s="59"/>
      <c r="I21" s="25">
        <v>1800</v>
      </c>
      <c r="J21" s="43">
        <f t="shared" si="3"/>
        <v>91854</v>
      </c>
      <c r="L21" s="24" t="s">
        <v>14</v>
      </c>
      <c r="M21" s="25"/>
      <c r="N21" s="60">
        <f>(Q19+Q20)*18/100/100</f>
        <v>10.116900000000001</v>
      </c>
      <c r="O21" s="60"/>
      <c r="P21" s="60"/>
      <c r="Q21" s="60"/>
      <c r="R21" s="25">
        <v>5800</v>
      </c>
      <c r="S21" s="43">
        <f>R21*N21</f>
        <v>58678.020000000004</v>
      </c>
    </row>
    <row r="22" spans="3:19" ht="15" thickBot="1" x14ac:dyDescent="0.35">
      <c r="C22" s="27"/>
      <c r="D22" s="28"/>
      <c r="E22" s="28"/>
      <c r="F22" s="28"/>
      <c r="G22" s="28"/>
      <c r="H22" s="28"/>
      <c r="I22" s="28"/>
      <c r="J22" s="44">
        <f>SUM(J19:J21)</f>
        <v>168858.27000000002</v>
      </c>
      <c r="L22" s="24" t="s">
        <v>7</v>
      </c>
      <c r="M22" s="25"/>
      <c r="N22" s="60">
        <f>(Q19+Q20)*1.5/100</f>
        <v>84.307500000000005</v>
      </c>
      <c r="O22" s="60"/>
      <c r="P22" s="60"/>
      <c r="Q22" s="60"/>
      <c r="R22" s="25">
        <v>310</v>
      </c>
      <c r="S22" s="43">
        <f t="shared" ref="S22:S23" si="4">R22*N22</f>
        <v>26135.325000000001</v>
      </c>
    </row>
    <row r="23" spans="3:19" ht="15" thickBot="1" x14ac:dyDescent="0.35">
      <c r="C23" s="29"/>
      <c r="D23" s="30"/>
      <c r="E23" s="30"/>
      <c r="F23" s="30"/>
      <c r="G23" s="30"/>
      <c r="H23" s="68">
        <f>J9+J16+J22</f>
        <v>641639.07000000007</v>
      </c>
      <c r="I23" s="68"/>
      <c r="J23" s="69"/>
      <c r="L23" s="24" t="s">
        <v>8</v>
      </c>
      <c r="M23" s="25"/>
      <c r="N23" s="60">
        <f>(Q19+Q20)/100</f>
        <v>56.204999999999998</v>
      </c>
      <c r="O23" s="60"/>
      <c r="P23" s="60"/>
      <c r="Q23" s="60"/>
      <c r="R23" s="25">
        <v>1800</v>
      </c>
      <c r="S23" s="43">
        <f t="shared" si="4"/>
        <v>101169</v>
      </c>
    </row>
    <row r="24" spans="3:19" ht="15" thickBot="1" x14ac:dyDescent="0.35">
      <c r="C24" s="47" t="s">
        <v>20</v>
      </c>
      <c r="D24" s="48"/>
      <c r="E24" s="48"/>
      <c r="F24" s="48"/>
      <c r="G24" s="48"/>
      <c r="H24" s="49">
        <f>H23*15%</f>
        <v>96245.86050000001</v>
      </c>
      <c r="I24" s="49"/>
      <c r="J24" s="50"/>
      <c r="L24" s="27"/>
      <c r="M24" s="28"/>
      <c r="N24" s="28"/>
      <c r="O24" s="28"/>
      <c r="P24" s="28"/>
      <c r="Q24" s="28"/>
      <c r="R24" s="28"/>
      <c r="S24" s="44">
        <f>SUM(S21:S23)</f>
        <v>185982.345</v>
      </c>
    </row>
    <row r="25" spans="3:19" ht="15" thickBot="1" x14ac:dyDescent="0.35">
      <c r="C25" s="51" t="s">
        <v>21</v>
      </c>
      <c r="D25" s="52"/>
      <c r="E25" s="52"/>
      <c r="F25" s="52"/>
      <c r="G25" s="52"/>
      <c r="H25" s="53">
        <f>H23+H24</f>
        <v>737884.93050000002</v>
      </c>
      <c r="I25" s="53"/>
      <c r="J25" s="54"/>
      <c r="L25" s="29"/>
      <c r="M25" s="30"/>
      <c r="N25" s="30"/>
      <c r="O25" s="30"/>
      <c r="P25" s="30"/>
      <c r="Q25" s="55">
        <f>S9+S17+S24</f>
        <v>730543.64500000002</v>
      </c>
      <c r="R25" s="56"/>
      <c r="S25" s="57"/>
    </row>
    <row r="26" spans="3:19" ht="15" thickBot="1" x14ac:dyDescent="0.35">
      <c r="L26" s="47" t="s">
        <v>20</v>
      </c>
      <c r="M26" s="48"/>
      <c r="N26" s="48"/>
      <c r="O26" s="48"/>
      <c r="P26" s="48"/>
      <c r="Q26" s="49">
        <f>Q25*15%</f>
        <v>109581.54674999999</v>
      </c>
      <c r="R26" s="49"/>
      <c r="S26" s="50"/>
    </row>
    <row r="27" spans="3:19" ht="15" thickBot="1" x14ac:dyDescent="0.35">
      <c r="L27" s="51" t="s">
        <v>21</v>
      </c>
      <c r="M27" s="52"/>
      <c r="N27" s="52"/>
      <c r="O27" s="52"/>
      <c r="P27" s="52"/>
      <c r="Q27" s="53">
        <f>Q25+Q26</f>
        <v>840125.19175</v>
      </c>
      <c r="R27" s="53"/>
      <c r="S27" s="54"/>
    </row>
  </sheetData>
  <mergeCells count="38">
    <mergeCell ref="C2:J2"/>
    <mergeCell ref="C18:D18"/>
    <mergeCell ref="L2:S2"/>
    <mergeCell ref="L4:M4"/>
    <mergeCell ref="N5:Q5"/>
    <mergeCell ref="N6:Q6"/>
    <mergeCell ref="N7:Q7"/>
    <mergeCell ref="E12:H12"/>
    <mergeCell ref="E13:H13"/>
    <mergeCell ref="E14:H14"/>
    <mergeCell ref="C4:D4"/>
    <mergeCell ref="E5:H5"/>
    <mergeCell ref="E6:H6"/>
    <mergeCell ref="E7:H7"/>
    <mergeCell ref="E8:H8"/>
    <mergeCell ref="C11:D11"/>
    <mergeCell ref="N8:Q8"/>
    <mergeCell ref="L10:M10"/>
    <mergeCell ref="E21:H21"/>
    <mergeCell ref="E15:H15"/>
    <mergeCell ref="H23:J23"/>
    <mergeCell ref="E19:H19"/>
    <mergeCell ref="E20:H20"/>
    <mergeCell ref="N22:Q22"/>
    <mergeCell ref="N23:Q23"/>
    <mergeCell ref="L11:M11"/>
    <mergeCell ref="L19:M19"/>
    <mergeCell ref="N21:Q21"/>
    <mergeCell ref="C24:G24"/>
    <mergeCell ref="H24:J24"/>
    <mergeCell ref="C25:G25"/>
    <mergeCell ref="H25:J25"/>
    <mergeCell ref="L20:M20"/>
    <mergeCell ref="L26:P26"/>
    <mergeCell ref="Q26:S26"/>
    <mergeCell ref="L27:P27"/>
    <mergeCell ref="Q27:S27"/>
    <mergeCell ref="Q25:S2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2026-02-23T16:02:28Z</dcterms:modified>
</cp:coreProperties>
</file>