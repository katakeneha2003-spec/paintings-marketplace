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Print_Area" localSheetId="0">Sheet1!$A$1:$J$24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1" l="1"/>
  <c r="B10" i="1" s="1"/>
  <c r="B11" i="1" s="1"/>
  <c r="B12" i="1" s="1"/>
  <c r="B13" i="1" s="1"/>
  <c r="B14" i="1" s="1"/>
  <c r="I13" i="1"/>
  <c r="I14" i="1"/>
  <c r="I10" i="1"/>
  <c r="I11" i="1"/>
  <c r="I12" i="1"/>
  <c r="I9" i="1"/>
  <c r="I8" i="1"/>
  <c r="I15" i="1" s="1"/>
  <c r="I16" i="1" l="1"/>
  <c r="I17" i="1"/>
  <c r="I19" i="1" l="1"/>
</calcChain>
</file>

<file path=xl/sharedStrings.xml><?xml version="1.0" encoding="utf-8"?>
<sst xmlns="http://schemas.openxmlformats.org/spreadsheetml/2006/main" count="44" uniqueCount="35">
  <si>
    <t>PURCHASE ORDER</t>
  </si>
  <si>
    <t>SR.No</t>
  </si>
  <si>
    <t>Item Description</t>
  </si>
  <si>
    <t>Quantity</t>
  </si>
  <si>
    <t>Rate</t>
  </si>
  <si>
    <t>AMOUNT</t>
  </si>
  <si>
    <t>Total</t>
  </si>
  <si>
    <t>Input CGST@9%</t>
  </si>
  <si>
    <t>Input SGST@9%</t>
  </si>
  <si>
    <t>ROUNDED OFF(SALES)</t>
  </si>
  <si>
    <t>Total Billing Amount</t>
  </si>
  <si>
    <t>Thanking you.</t>
  </si>
  <si>
    <t xml:space="preserve">To,                            
The Director,
CERATEC TILES INDIAPVT LTD.
GST NO:-27AAGCP4783L1ZS
Address:-SR NO.36/7/5,Ambegaon budruk,Near D-mart
DIST – PUNE- 411046.
</t>
  </si>
  <si>
    <t xml:space="preserve">Sub: Purchase Order for supply of  Tiles for our Project: -At Site –TINGRE REALTY AT CTS 499/9, KONDHAWA, PARAGE NAGAR PUNE-411048 </t>
  </si>
  <si>
    <t>Millur Brown Glossy</t>
  </si>
  <si>
    <t>Size</t>
  </si>
  <si>
    <t>Nos</t>
  </si>
  <si>
    <t>1200x600</t>
  </si>
  <si>
    <t>Unit</t>
  </si>
  <si>
    <t xml:space="preserve"> sq ft</t>
  </si>
  <si>
    <t>Parkar Bruno</t>
  </si>
  <si>
    <t>600x600</t>
  </si>
  <si>
    <t>Smoke Wood</t>
  </si>
  <si>
    <t>Sq ft</t>
  </si>
  <si>
    <t>Apolish Rope Glossy</t>
  </si>
  <si>
    <t>Olmpiya Glossy</t>
  </si>
  <si>
    <t>Breccia Dove Gloosy</t>
  </si>
  <si>
    <t>kitchen Dado(44122)light (RNT)</t>
  </si>
  <si>
    <t>Sqft</t>
  </si>
  <si>
    <t xml:space="preserve">Dear Sir,
               With reference to the above quotation and the negotiation and discussion that followed, we are please to    place this Purchase Order on you for supply of ready mixed plaster for our above-mentioned site at the rates mentioned below:
</t>
  </si>
  <si>
    <t>Amount in words:- One Lakh Fifty-NineThousand Three Hundread Eighty-Four Ruppes Twenty-five paise only.</t>
  </si>
  <si>
    <r>
      <rPr>
        <b/>
        <sz val="28"/>
        <color theme="1"/>
        <rFont val="Times New Roman"/>
        <family val="1"/>
      </rPr>
      <t>Unitet Developers Private Ltd.</t>
    </r>
    <r>
      <rPr>
        <b/>
        <sz val="11"/>
        <color theme="1"/>
        <rFont val="Times New Roman"/>
        <family val="1"/>
      </rPr>
      <t xml:space="preserve">
Sr.No. 99/9/4, Bh Minar Building, 1St Floor, Kondhawa Khurd, Pune. </t>
    </r>
    <r>
      <rPr>
        <sz val="11"/>
        <color theme="1"/>
        <rFont val="Times New Roman"/>
        <family val="1"/>
      </rPr>
      <t xml:space="preserve">
</t>
    </r>
  </si>
  <si>
    <t>(1) GST is inclusive  in the above Rate.@ 18% ( on basic ) Our Firm Name &amp; GST NO BELOW-
NAME - UNITET DEVELOPERS PRIVET LIMITED
GST NO - 27AACCU7599R1Z3 
 PAN: -   AACCU7599R
2) ABOVE RATES INCLUDING GST.
3) ABOVE RATES ARE INCLUDING LOADING &amp; TRANSPORT.
4) UNLOADING OF MATERIEL IN CLIENTS SCOPE.
5) PAYMENT WILL DONE AFTER WITHIN 24 HORS AFTER MATERIEL UNLOADING.</t>
  </si>
  <si>
    <t>Contact Person  – Kanhu Katke (GM) – 7350840980.
SITE CONTACT –    1) Anurag Shinde-8317240230.
                                  2) SAFWAN SAYYAD – 9518352821.</t>
  </si>
  <si>
    <t>PO. No.- TR- 24-25/ OCT -07.                                                                        Date: –17/10/2025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</si>
</sst>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color theme="1"/>
      <name val="Times New Roman"/>
      <family val="1"/>
    </font>
    <font>
      <b/>
      <sz val="12"/>
      <color theme="1"/>
      <name val="Times New Roman"/>
      <family val="1"/>
    </font>
    <font>
      <sz val="11"/>
      <color theme="1"/>
      <name val="Times New Roman"/>
      <family val="1"/>
    </font>
    <font>
      <b/>
      <sz val="28"/>
      <color theme="1"/>
      <name val="Times New Roman"/>
      <family val="1"/>
    </font>
    <font>
      <b/>
      <sz val="11"/>
      <color theme="1"/>
      <name val="Times New Roman"/>
      <family val="1"/>
    </font>
    <font>
      <b/>
      <sz val="14"/>
      <color theme="1"/>
      <name val="Times New Roman"/>
      <family val="1"/>
    </font>
    <font>
      <sz val="16"/>
      <color theme="1"/>
      <name val="Times New Roman"/>
      <family val="1"/>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s>
  <cellStyleXfs count="1">
    <xf numFmtId="0" fontId="0" fillId="0" borderId="0"/>
  </cellStyleXfs>
  <cellXfs count="52">
    <xf numFmtId="0" fontId="0" fillId="0" borderId="0" xfId="0"/>
    <xf numFmtId="0" fontId="1" fillId="0" borderId="5" xfId="0" applyFont="1" applyBorder="1" applyAlignment="1">
      <alignment vertical="center" wrapText="1"/>
    </xf>
    <xf numFmtId="0" fontId="1" fillId="0" borderId="11"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Border="1" applyAlignment="1">
      <alignment vertical="center" wrapText="1"/>
    </xf>
    <xf numFmtId="0" fontId="3" fillId="0" borderId="0" xfId="0" applyFont="1"/>
    <xf numFmtId="0" fontId="3" fillId="0" borderId="0" xfId="0" applyFont="1" applyAlignment="1">
      <alignment wrapText="1"/>
    </xf>
    <xf numFmtId="0" fontId="5" fillId="0" borderId="4" xfId="0" applyNumberFormat="1" applyFont="1" applyBorder="1" applyAlignment="1">
      <alignment vertical="center" wrapText="1"/>
    </xf>
    <xf numFmtId="0" fontId="3" fillId="0" borderId="0" xfId="0" applyFont="1" applyBorder="1"/>
    <xf numFmtId="0" fontId="5" fillId="0" borderId="1"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3" fillId="0" borderId="0" xfId="0" applyNumberFormat="1" applyFont="1"/>
    <xf numFmtId="0" fontId="5" fillId="0" borderId="0" xfId="0" applyFont="1" applyBorder="1"/>
    <xf numFmtId="0" fontId="1" fillId="0" borderId="11" xfId="0" applyFont="1" applyBorder="1" applyAlignment="1">
      <alignment horizontal="center" vertical="center" wrapText="1"/>
    </xf>
    <xf numFmtId="0" fontId="5" fillId="0" borderId="1" xfId="0" applyFont="1" applyBorder="1" applyAlignment="1">
      <alignment horizontal="center" vertical="center" wrapText="1"/>
    </xf>
    <xf numFmtId="4" fontId="5" fillId="0" borderId="4" xfId="0" applyNumberFormat="1"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right" vertical="center" wrapText="1"/>
    </xf>
    <xf numFmtId="0" fontId="5" fillId="0" borderId="0"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9" xfId="0" applyNumberFormat="1" applyFont="1" applyBorder="1" applyAlignment="1">
      <alignment horizontal="center" vertical="center" wrapText="1"/>
    </xf>
    <xf numFmtId="4" fontId="5" fillId="0" borderId="9" xfId="0" applyNumberFormat="1" applyFont="1" applyBorder="1" applyAlignment="1">
      <alignment horizontal="center" vertical="center" wrapText="1"/>
    </xf>
    <xf numFmtId="0" fontId="1" fillId="0" borderId="8" xfId="0" applyFont="1" applyBorder="1" applyAlignment="1">
      <alignment horizontal="left"/>
    </xf>
    <xf numFmtId="0" fontId="5" fillId="0" borderId="8"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8" xfId="0" applyFont="1" applyBorder="1" applyAlignment="1">
      <alignment horizontal="left"/>
    </xf>
    <xf numFmtId="0" fontId="5" fillId="0" borderId="3" xfId="0" applyFont="1" applyBorder="1" applyAlignment="1">
      <alignment horizontal="left"/>
    </xf>
    <xf numFmtId="0" fontId="5" fillId="0" borderId="2" xfId="0" applyFont="1" applyBorder="1" applyAlignment="1">
      <alignment horizontal="left"/>
    </xf>
    <xf numFmtId="0" fontId="2" fillId="0" borderId="8"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6" fillId="0" borderId="8" xfId="0" applyFont="1" applyBorder="1" applyAlignment="1">
      <alignment horizontal="center"/>
    </xf>
    <xf numFmtId="0" fontId="6" fillId="0" borderId="3" xfId="0" applyFont="1" applyBorder="1" applyAlignment="1">
      <alignment horizontal="center"/>
    </xf>
    <xf numFmtId="0" fontId="6" fillId="0" borderId="2" xfId="0" applyFont="1" applyBorder="1" applyAlignment="1">
      <alignment horizontal="center"/>
    </xf>
    <xf numFmtId="0" fontId="7" fillId="0" borderId="0" xfId="0" applyFont="1" applyAlignment="1">
      <alignment horizontal="left" vertical="center"/>
    </xf>
    <xf numFmtId="0" fontId="3" fillId="0" borderId="0" xfId="0" applyFont="1" applyAlignment="1">
      <alignment horizontal="center"/>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 fillId="0" borderId="3" xfId="0" applyFont="1" applyBorder="1" applyAlignment="1">
      <alignment horizontal="left"/>
    </xf>
    <xf numFmtId="0" fontId="1"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view="pageBreakPreview" zoomScale="60" zoomScaleNormal="100" workbookViewId="0">
      <selection activeCell="Q4" activeCellId="1" sqref="N6 Q4"/>
    </sheetView>
  </sheetViews>
  <sheetFormatPr defaultRowHeight="13.8" x14ac:dyDescent="0.25"/>
  <cols>
    <col min="1" max="1" width="8.88671875" style="5"/>
    <col min="2" max="2" width="4.77734375" style="5" customWidth="1"/>
    <col min="3" max="3" width="20.77734375" style="5" bestFit="1" customWidth="1"/>
    <col min="4" max="5" width="13.109375" style="5" customWidth="1"/>
    <col min="6" max="6" width="13.77734375" style="5" customWidth="1"/>
    <col min="7" max="7" width="13.33203125" style="5" customWidth="1"/>
    <col min="8" max="8" width="15.44140625" style="11" customWidth="1"/>
    <col min="9" max="9" width="21.21875" style="5" customWidth="1"/>
    <col min="10" max="16384" width="8.88671875" style="5"/>
  </cols>
  <sheetData>
    <row r="1" spans="2:11" ht="53.4" customHeight="1" thickBot="1" x14ac:dyDescent="0.3">
      <c r="B1" s="47" t="s">
        <v>31</v>
      </c>
      <c r="C1" s="48"/>
      <c r="D1" s="48"/>
      <c r="E1" s="48"/>
      <c r="F1" s="48"/>
      <c r="G1" s="48"/>
      <c r="H1" s="48"/>
      <c r="I1" s="49"/>
      <c r="K1" s="6"/>
    </row>
    <row r="2" spans="2:11" ht="24" customHeight="1" thickBot="1" x14ac:dyDescent="0.35">
      <c r="B2" s="40" t="s">
        <v>0</v>
      </c>
      <c r="C2" s="41"/>
      <c r="D2" s="41"/>
      <c r="E2" s="41"/>
      <c r="F2" s="41"/>
      <c r="G2" s="41"/>
      <c r="H2" s="41"/>
      <c r="I2" s="42"/>
    </row>
    <row r="3" spans="2:11" ht="14.4" thickBot="1" x14ac:dyDescent="0.3">
      <c r="B3" s="31" t="s">
        <v>34</v>
      </c>
      <c r="C3" s="32"/>
      <c r="D3" s="32"/>
      <c r="E3" s="32"/>
      <c r="F3" s="32"/>
      <c r="G3" s="32"/>
      <c r="H3" s="32"/>
      <c r="I3" s="33"/>
    </row>
    <row r="4" spans="2:11" ht="95.4" customHeight="1" thickBot="1" x14ac:dyDescent="0.3">
      <c r="B4" s="34" t="s">
        <v>12</v>
      </c>
      <c r="C4" s="35"/>
      <c r="D4" s="35"/>
      <c r="E4" s="35"/>
      <c r="F4" s="35"/>
      <c r="G4" s="35"/>
      <c r="H4" s="35"/>
      <c r="I4" s="36"/>
    </row>
    <row r="5" spans="2:11" ht="47.4" customHeight="1" thickBot="1" x14ac:dyDescent="0.3">
      <c r="B5" s="28" t="s">
        <v>13</v>
      </c>
      <c r="C5" s="29"/>
      <c r="D5" s="29"/>
      <c r="E5" s="29"/>
      <c r="F5" s="29"/>
      <c r="G5" s="29"/>
      <c r="H5" s="29"/>
      <c r="I5" s="30"/>
    </row>
    <row r="6" spans="2:11" ht="72.599999999999994" customHeight="1" thickBot="1" x14ac:dyDescent="0.3">
      <c r="B6" s="37" t="s">
        <v>29</v>
      </c>
      <c r="C6" s="38"/>
      <c r="D6" s="38"/>
      <c r="E6" s="38"/>
      <c r="F6" s="38"/>
      <c r="G6" s="38"/>
      <c r="H6" s="38"/>
      <c r="I6" s="39"/>
    </row>
    <row r="7" spans="2:11" ht="42" customHeight="1" thickBot="1" x14ac:dyDescent="0.3">
      <c r="B7" s="10" t="s">
        <v>1</v>
      </c>
      <c r="C7" s="14" t="s">
        <v>2</v>
      </c>
      <c r="D7" s="14" t="s">
        <v>16</v>
      </c>
      <c r="E7" s="21" t="s">
        <v>15</v>
      </c>
      <c r="F7" s="14" t="s">
        <v>3</v>
      </c>
      <c r="G7" s="21" t="s">
        <v>18</v>
      </c>
      <c r="H7" s="9" t="s">
        <v>4</v>
      </c>
      <c r="I7" s="20" t="s">
        <v>5</v>
      </c>
    </row>
    <row r="8" spans="2:11" ht="14.4" thickBot="1" x14ac:dyDescent="0.3">
      <c r="B8" s="14">
        <v>1</v>
      </c>
      <c r="C8" s="21" t="s">
        <v>14</v>
      </c>
      <c r="D8" s="14">
        <v>1</v>
      </c>
      <c r="E8" s="21" t="s">
        <v>17</v>
      </c>
      <c r="F8" s="14">
        <v>1007.5</v>
      </c>
      <c r="G8" s="21" t="s">
        <v>19</v>
      </c>
      <c r="H8" s="22">
        <v>50.4</v>
      </c>
      <c r="I8" s="20">
        <f>+H8*F8</f>
        <v>50778</v>
      </c>
    </row>
    <row r="9" spans="2:11" ht="14.4" thickBot="1" x14ac:dyDescent="0.3">
      <c r="B9" s="14">
        <f>1+B8</f>
        <v>2</v>
      </c>
      <c r="C9" s="18" t="s">
        <v>20</v>
      </c>
      <c r="D9" s="14">
        <v>1</v>
      </c>
      <c r="E9" s="18" t="s">
        <v>21</v>
      </c>
      <c r="F9" s="22">
        <v>121</v>
      </c>
      <c r="G9" s="18" t="s">
        <v>19</v>
      </c>
      <c r="H9" s="22">
        <v>42</v>
      </c>
      <c r="I9" s="23">
        <f>+H9*F9</f>
        <v>5082</v>
      </c>
    </row>
    <row r="10" spans="2:11" ht="14.4" thickBot="1" x14ac:dyDescent="0.3">
      <c r="B10" s="14">
        <f t="shared" ref="B10:B14" si="0">1+B9</f>
        <v>3</v>
      </c>
      <c r="C10" s="21" t="s">
        <v>22</v>
      </c>
      <c r="D10" s="14">
        <v>1</v>
      </c>
      <c r="E10" s="21" t="s">
        <v>17</v>
      </c>
      <c r="F10" s="14">
        <v>200</v>
      </c>
      <c r="G10" s="21" t="s">
        <v>23</v>
      </c>
      <c r="H10" s="22">
        <v>66</v>
      </c>
      <c r="I10" s="20">
        <f t="shared" ref="I10:I14" si="1">+H10*F10</f>
        <v>13200</v>
      </c>
    </row>
    <row r="11" spans="2:11" ht="14.4" thickBot="1" x14ac:dyDescent="0.3">
      <c r="B11" s="14">
        <f t="shared" si="0"/>
        <v>4</v>
      </c>
      <c r="C11" s="12" t="s">
        <v>24</v>
      </c>
      <c r="D11" s="14">
        <v>1</v>
      </c>
      <c r="E11" s="18" t="s">
        <v>17</v>
      </c>
      <c r="F11" s="14">
        <v>325.5</v>
      </c>
      <c r="G11" s="18" t="s">
        <v>23</v>
      </c>
      <c r="H11" s="9">
        <v>50.4</v>
      </c>
      <c r="I11" s="24">
        <f t="shared" si="1"/>
        <v>16405.2</v>
      </c>
    </row>
    <row r="12" spans="2:11" ht="14.4" thickBot="1" x14ac:dyDescent="0.3">
      <c r="B12" s="14">
        <f t="shared" si="0"/>
        <v>5</v>
      </c>
      <c r="C12" s="17" t="s">
        <v>25</v>
      </c>
      <c r="D12" s="14">
        <v>1</v>
      </c>
      <c r="E12" s="21" t="s">
        <v>17</v>
      </c>
      <c r="F12" s="14">
        <v>325.5</v>
      </c>
      <c r="G12" s="21" t="s">
        <v>23</v>
      </c>
      <c r="H12" s="9">
        <v>50.4</v>
      </c>
      <c r="I12" s="16">
        <f t="shared" si="1"/>
        <v>16405.2</v>
      </c>
    </row>
    <row r="13" spans="2:11" ht="55.8" customHeight="1" thickBot="1" x14ac:dyDescent="0.3">
      <c r="B13" s="14">
        <f t="shared" si="0"/>
        <v>6</v>
      </c>
      <c r="C13" s="18" t="s">
        <v>26</v>
      </c>
      <c r="D13" s="14">
        <v>1</v>
      </c>
      <c r="E13" s="18" t="s">
        <v>17</v>
      </c>
      <c r="F13" s="14">
        <v>434</v>
      </c>
      <c r="G13" s="18" t="s">
        <v>23</v>
      </c>
      <c r="H13" s="9">
        <v>54</v>
      </c>
      <c r="I13" s="19">
        <f t="shared" si="1"/>
        <v>23436</v>
      </c>
    </row>
    <row r="14" spans="2:11" ht="42" thickBot="1" x14ac:dyDescent="0.3">
      <c r="B14" s="14">
        <f t="shared" si="0"/>
        <v>7</v>
      </c>
      <c r="C14" s="21" t="s">
        <v>27</v>
      </c>
      <c r="D14" s="14">
        <v>1</v>
      </c>
      <c r="E14" s="21" t="s">
        <v>17</v>
      </c>
      <c r="F14" s="14">
        <v>155</v>
      </c>
      <c r="G14" s="21" t="s">
        <v>28</v>
      </c>
      <c r="H14" s="9">
        <v>63</v>
      </c>
      <c r="I14" s="20">
        <f t="shared" si="1"/>
        <v>9765</v>
      </c>
    </row>
    <row r="15" spans="2:11" ht="14.4" customHeight="1" thickBot="1" x14ac:dyDescent="0.3">
      <c r="B15" s="2"/>
      <c r="C15" s="4"/>
      <c r="D15" s="4"/>
      <c r="E15" s="4"/>
      <c r="F15" s="4"/>
      <c r="G15" s="1"/>
      <c r="H15" s="7" t="s">
        <v>6</v>
      </c>
      <c r="I15" s="15">
        <f>+SUM(I8:I14)</f>
        <v>135071.4</v>
      </c>
    </row>
    <row r="16" spans="2:11" ht="28.2" thickBot="1" x14ac:dyDescent="0.3">
      <c r="B16" s="13"/>
      <c r="C16" s="3"/>
      <c r="D16" s="3"/>
      <c r="E16" s="8"/>
      <c r="F16" s="8"/>
      <c r="G16" s="8"/>
      <c r="H16" s="9" t="s">
        <v>7</v>
      </c>
      <c r="I16" s="14">
        <f>+I15*0.09</f>
        <v>12156.425999999999</v>
      </c>
    </row>
    <row r="17" spans="1:10" ht="28.2" thickBot="1" x14ac:dyDescent="0.3">
      <c r="B17" s="13"/>
      <c r="C17" s="3"/>
      <c r="D17" s="3"/>
      <c r="E17" s="8"/>
      <c r="F17" s="8"/>
      <c r="G17" s="8"/>
      <c r="H17" s="9" t="s">
        <v>8</v>
      </c>
      <c r="I17" s="14">
        <f>+I15*0.09</f>
        <v>12156.425999999999</v>
      </c>
    </row>
    <row r="18" spans="1:10" ht="28.2" thickBot="1" x14ac:dyDescent="0.3">
      <c r="B18" s="13"/>
      <c r="C18" s="3"/>
      <c r="D18" s="3"/>
      <c r="E18" s="8"/>
      <c r="F18" s="8"/>
      <c r="G18" s="8"/>
      <c r="H18" s="9" t="s">
        <v>9</v>
      </c>
      <c r="I18" s="14">
        <v>0</v>
      </c>
    </row>
    <row r="19" spans="1:10" ht="28.2" thickBot="1" x14ac:dyDescent="0.3">
      <c r="B19" s="45"/>
      <c r="C19" s="46"/>
      <c r="D19" s="46"/>
      <c r="E19" s="8"/>
      <c r="F19" s="8"/>
      <c r="G19" s="8"/>
      <c r="H19" s="25" t="s">
        <v>10</v>
      </c>
      <c r="I19" s="26">
        <f>SUM(I15:I18)</f>
        <v>159384.25200000001</v>
      </c>
    </row>
    <row r="20" spans="1:10" ht="16.2" thickBot="1" x14ac:dyDescent="0.35">
      <c r="B20" s="27" t="s">
        <v>30</v>
      </c>
      <c r="C20" s="50"/>
      <c r="D20" s="50"/>
      <c r="E20" s="50"/>
      <c r="F20" s="50"/>
      <c r="G20" s="50"/>
      <c r="H20" s="50"/>
      <c r="I20" s="51"/>
    </row>
    <row r="21" spans="1:10" ht="132.6" customHeight="1" thickBot="1" x14ac:dyDescent="0.3">
      <c r="B21" s="28" t="s">
        <v>32</v>
      </c>
      <c r="C21" s="29"/>
      <c r="D21" s="29"/>
      <c r="E21" s="29"/>
      <c r="F21" s="29"/>
      <c r="G21" s="29"/>
      <c r="H21" s="29"/>
      <c r="I21" s="30"/>
    </row>
    <row r="22" spans="1:10" ht="54.6" customHeight="1" thickBot="1" x14ac:dyDescent="0.3">
      <c r="B22" s="28" t="s">
        <v>33</v>
      </c>
      <c r="C22" s="29"/>
      <c r="D22" s="29"/>
      <c r="E22" s="29"/>
      <c r="F22" s="29"/>
      <c r="G22" s="29"/>
      <c r="H22" s="29"/>
      <c r="I22" s="30"/>
    </row>
    <row r="23" spans="1:10" ht="54.6" customHeight="1" x14ac:dyDescent="0.25">
      <c r="A23" s="44"/>
      <c r="B23" s="44"/>
      <c r="C23" s="44"/>
      <c r="D23" s="44"/>
      <c r="E23" s="44"/>
      <c r="F23" s="44"/>
      <c r="G23" s="44"/>
      <c r="H23" s="44"/>
      <c r="I23" s="44"/>
      <c r="J23" s="44"/>
    </row>
    <row r="24" spans="1:10" ht="21" x14ac:dyDescent="0.25">
      <c r="B24" s="43" t="s">
        <v>11</v>
      </c>
      <c r="C24" s="43"/>
      <c r="D24" s="43"/>
      <c r="E24" s="43"/>
      <c r="F24" s="43"/>
      <c r="G24" s="43"/>
      <c r="H24" s="43"/>
      <c r="I24" s="43"/>
    </row>
  </sheetData>
  <mergeCells count="15">
    <mergeCell ref="B20:I20"/>
    <mergeCell ref="A23:J23"/>
    <mergeCell ref="B1:I1"/>
    <mergeCell ref="B16:D16"/>
    <mergeCell ref="B17:D17"/>
    <mergeCell ref="B18:D18"/>
    <mergeCell ref="B19:D19"/>
    <mergeCell ref="B6:I6"/>
    <mergeCell ref="B2:I2"/>
    <mergeCell ref="B4:I4"/>
    <mergeCell ref="B5:I5"/>
    <mergeCell ref="B3:I3"/>
    <mergeCell ref="B21:I21"/>
    <mergeCell ref="B22:I22"/>
    <mergeCell ref="B24:I24"/>
  </mergeCells>
  <pageMargins left="0.32" right="0.19" top="0.54" bottom="1.24" header="0.31496062992125984" footer="0.31496062992125984"/>
  <pageSetup paperSize="9" scale="7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2025-10-18T08:12:33Z</dcterms:modified>
</cp:coreProperties>
</file>