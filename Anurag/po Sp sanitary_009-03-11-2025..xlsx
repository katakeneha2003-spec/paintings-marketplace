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activeTab="1"/>
  </bookViews>
  <sheets>
    <sheet name="Sheet1" sheetId="1" r:id="rId1"/>
    <sheet name="Sheet2" sheetId="2" r:id="rId2"/>
  </sheets>
  <definedNames>
    <definedName name="_xlnm.Print_Area" localSheetId="0">Sheet1!$B$1:$G$66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4" i="2" l="1"/>
  <c r="C54" i="2"/>
  <c r="G53" i="2"/>
  <c r="G49" i="2"/>
  <c r="G48" i="2"/>
  <c r="G47" i="2"/>
  <c r="C47" i="2"/>
  <c r="C48" i="2" s="1"/>
  <c r="C49" i="2" s="1"/>
  <c r="G46" i="2"/>
  <c r="G42" i="2"/>
  <c r="G41" i="2"/>
  <c r="C41" i="2"/>
  <c r="C42" i="2" s="1"/>
  <c r="G40" i="2"/>
  <c r="G37" i="2"/>
  <c r="G36" i="2"/>
  <c r="G35" i="2"/>
  <c r="C35" i="2"/>
  <c r="C36" i="2" s="1"/>
  <c r="C37" i="2" s="1"/>
  <c r="G34" i="2"/>
  <c r="C34" i="2"/>
  <c r="G33" i="2"/>
  <c r="G55" i="2" l="1"/>
  <c r="G24" i="1"/>
  <c r="G25" i="1"/>
  <c r="G26" i="1"/>
  <c r="G27" i="1"/>
  <c r="G30" i="1"/>
  <c r="G31" i="1"/>
  <c r="G32" i="1"/>
  <c r="G33" i="1"/>
  <c r="G36" i="1"/>
  <c r="G37" i="1"/>
  <c r="G38" i="1"/>
  <c r="G39" i="1"/>
  <c r="G40" i="1"/>
  <c r="G43" i="1"/>
  <c r="G44" i="1"/>
  <c r="G23" i="1"/>
  <c r="C24" i="1"/>
  <c r="C25" i="1" s="1"/>
  <c r="C26" i="1" s="1"/>
  <c r="C27" i="1" s="1"/>
  <c r="C31" i="1" s="1"/>
  <c r="C32" i="1" s="1"/>
  <c r="C33" i="1" s="1"/>
  <c r="C37" i="1" s="1"/>
  <c r="C38" i="1" s="1"/>
  <c r="C39" i="1" s="1"/>
  <c r="C40" i="1" s="1"/>
  <c r="C44" i="1" s="1"/>
  <c r="G57" i="2" l="1"/>
  <c r="G56" i="2"/>
  <c r="G58" i="2" s="1"/>
  <c r="G45" i="1"/>
  <c r="G46" i="1" s="1"/>
  <c r="G47" i="1" l="1"/>
  <c r="G48" i="1" s="1"/>
</calcChain>
</file>

<file path=xl/sharedStrings.xml><?xml version="1.0" encoding="utf-8"?>
<sst xmlns="http://schemas.openxmlformats.org/spreadsheetml/2006/main" count="143" uniqueCount="89">
  <si>
    <t>UNITET DEVELOPERS PRIVET LTD.</t>
  </si>
  <si>
    <t>PURCHASE ORDER</t>
  </si>
  <si>
    <t>To,</t>
  </si>
  <si>
    <t>The Director,</t>
  </si>
  <si>
    <r>
      <t>Sr.No. 99/9/4, Bh minar building, 1</t>
    </r>
    <r>
      <rPr>
        <vertAlign val="superscript"/>
        <sz val="20"/>
        <color theme="1"/>
        <rFont val="Times New Roman"/>
        <family val="1"/>
      </rPr>
      <t>st</t>
    </r>
    <r>
      <rPr>
        <sz val="20"/>
        <color theme="1"/>
        <rFont val="Times New Roman"/>
        <family val="1"/>
      </rPr>
      <t xml:space="preserve"> floor, kondhawa khurd, PUNE. </t>
    </r>
  </si>
  <si>
    <t>Dear Sir,</t>
  </si>
  <si>
    <t>With reference to the above quotation and the negotiation and discussion that followed, we are pleases to place this purchase order on your for supply of ready mixed plaster for our above- mentioned site at the rates mentioned below</t>
  </si>
  <si>
    <t>Sr  no</t>
  </si>
  <si>
    <t>ItemDecription</t>
  </si>
  <si>
    <t>Quantity</t>
  </si>
  <si>
    <t>Rate</t>
  </si>
  <si>
    <t>Amount</t>
  </si>
  <si>
    <t>3BHK</t>
  </si>
  <si>
    <t>Basin Area</t>
  </si>
  <si>
    <t>ALD-CHR-065M-CONCEALED BODY FOR SINGLE LEVER DIVERTER</t>
  </si>
  <si>
    <t>OPP-CHR-15065MKPM-SINGLE LEVER EXPOSED PARTS KIT OF DIVERT</t>
  </si>
  <si>
    <t>SPJ-CHR-15429PM-OPAL PRIME BATH TUB SPOUT WITH WALL FLAN</t>
  </si>
  <si>
    <t>SHA-CHR-479L300S-SHOWER ARM ?20MM &amp; 300MM LONG  ROUND SHAP</t>
  </si>
  <si>
    <t>EOS-CHR-542A-OVERHEAD SHOWER</t>
  </si>
  <si>
    <t>JDS-WHT-25909-TABLE TOP BASIN SIZE:480X380X140MM</t>
  </si>
  <si>
    <t>SOT-CHR-83037-SPOUT OPERATED BIB TAP ROUND SHAPE WITH</t>
  </si>
  <si>
    <t>ALD-CHR-705L130-WASTE COUPLING 32MM F. THREAD 130MM HT</t>
  </si>
  <si>
    <t>2710PP25BO-BONOMINI 32MM PVC U TRAP</t>
  </si>
  <si>
    <t>COMOD AREA</t>
  </si>
  <si>
    <t>CNS-WHT-963UFSM-RIMLESS WALL HUNG WC WITH UF SOFT CLOSE</t>
  </si>
  <si>
    <t>ALD-CHR-573-HAND SHOWER(HEALTH FAUCET)WITH 8MM DIA</t>
  </si>
  <si>
    <t>OPP-CHR-15053PM-ANGULAR STOP COCK WITH WALL FLANGE</t>
  </si>
  <si>
    <t>R-BRAND CI CHAIR BRACKET</t>
  </si>
  <si>
    <t>KITCHEN &amp; DRY BALCONY</t>
  </si>
  <si>
    <t>FLP-CHR-5347PM-SINK COCK WITH REGULAR SWINING SPOUT</t>
  </si>
  <si>
    <t>SQT-CHR-511AKN-Bib Cock With Nozzel</t>
  </si>
  <si>
    <t>CGST(9%)</t>
  </si>
  <si>
    <t>SGST(9%)</t>
  </si>
  <si>
    <t>Final Amount</t>
  </si>
  <si>
    <t>NAME - UNITET DEVELOPERS PRIVET LIMITED</t>
  </si>
  <si>
    <t xml:space="preserve">GST NO - 27AACCU7599R1Z3 </t>
  </si>
  <si>
    <t>2) ABOVE RATES INCLUDING GST.</t>
  </si>
  <si>
    <t>3) ABOVE RATES ARE INCLUDING LOADING &amp; TRANSPORT.</t>
  </si>
  <si>
    <t>4) UNLOADING OF MATERIEL IN CLIENTS SCOPE.</t>
  </si>
  <si>
    <t>5) PAYMENT WILL DONE AFTER WITHIN 24 HORS AFTER MATERIEL UNLOADING.</t>
  </si>
  <si>
    <t xml:space="preserve"> Contact Person  –PM Kanhu Katke  – 7350840980</t>
  </si>
  <si>
    <t>SITE CONTACT – SAFWAN SAYYAD - 9518352821</t>
  </si>
  <si>
    <t>MATRAIL DELIVERY SCHEDULE=15/10/2025.</t>
  </si>
  <si>
    <t>Thanking you,</t>
  </si>
  <si>
    <r>
      <t>(1)</t>
    </r>
    <r>
      <rPr>
        <b/>
        <sz val="16"/>
        <color theme="1"/>
        <rFont val="Times New Roman"/>
        <family val="1"/>
      </rPr>
      <t xml:space="preserve">  </t>
    </r>
    <r>
      <rPr>
        <b/>
        <sz val="16"/>
        <color theme="1"/>
        <rFont val="Cambria"/>
        <family val="1"/>
      </rPr>
      <t>GST is inclusive  in the above Rate.@ 18% ( on basic ) Our Firm Name &amp; GST NO BELOW-</t>
    </r>
  </si>
  <si>
    <r>
      <t xml:space="preserve">         PAN: -</t>
    </r>
    <r>
      <rPr>
        <sz val="16"/>
        <color theme="1"/>
        <rFont val="Times New Roman"/>
        <family val="1"/>
      </rPr>
      <t xml:space="preserve">   </t>
    </r>
    <r>
      <rPr>
        <b/>
        <sz val="16"/>
        <color theme="1"/>
        <rFont val="Times New Roman"/>
        <family val="1"/>
      </rPr>
      <t>AACCU7599R</t>
    </r>
  </si>
  <si>
    <t>FLV-CHR-1085N-METROPOLE FLUSH VALVE DUAL FLOW 32MM SIZE</t>
  </si>
  <si>
    <t xml:space="preserve">PO. No.- TR- 24-25/ OCT -09.                                                                                                                   </t>
  </si>
  <si>
    <t>Date: –03/11/2025</t>
  </si>
  <si>
    <t>CHOICE SANITIONS</t>
  </si>
  <si>
    <t>GAT NO:-27AADFC3042K1ZM</t>
  </si>
  <si>
    <t>Address:-Lane No.8 opp.ganesh mandir,vishrantwadi-airportroad,adarsh colony,tingarenagar,null,pune,maharashtra</t>
  </si>
  <si>
    <t>DIST – PUNE- 411032.</t>
  </si>
  <si>
    <t>Email:choice.sanitation@gmail.com</t>
  </si>
  <si>
    <t>Mobile no:-9823028060.</t>
  </si>
  <si>
    <t>Amount in words:- Seventy two thousand four hundred eight rupees and ninety five pisce only</t>
  </si>
  <si>
    <t>Sub: Purchase Order for supply of Cp Sanitary for our Project: -At Site –TINGRE REALTY AT CTS 499/9, KONDHAWA, PARAGE NAGAR PUNE-411048.</t>
  </si>
  <si>
    <t>Q No.502129</t>
  </si>
  <si>
    <t>Amount in words:- Three crore fifty-nine lakh fifty-one thousand fifty-four rupees and ten paise only</t>
  </si>
  <si>
    <t>SITE CONTACT – SIDDHNATH KAMBLE - 8830193942</t>
  </si>
  <si>
    <t>6) PAYMENT WILL DONE AFTER WITHIN 24 HORS AFTER MATERIEL UNLOADING.</t>
  </si>
  <si>
    <t>MATERIAL DELIVERY SCHEDULE=15/10/2025.</t>
  </si>
  <si>
    <t>Date: –11/12/2025</t>
  </si>
  <si>
    <t xml:space="preserve">PO. No.- TR- 24-25/ DEC -12.                                                                                                                   </t>
  </si>
  <si>
    <t>Q No.526584</t>
  </si>
  <si>
    <r>
      <rPr>
        <b/>
        <sz val="12"/>
        <rFont val="Arial"/>
        <family val="2"/>
      </rPr>
      <t xml:space="preserve">Quote Number : </t>
    </r>
    <r>
      <rPr>
        <sz val="12"/>
        <rFont val="Arial MT"/>
        <family val="2"/>
      </rPr>
      <t>Q-526584</t>
    </r>
  </si>
  <si>
    <r>
      <rPr>
        <b/>
        <sz val="12"/>
        <rFont val="Arial"/>
        <family val="2"/>
      </rPr>
      <t xml:space="preserve">Quote Date : </t>
    </r>
    <r>
      <rPr>
        <sz val="12"/>
        <rFont val="Arial MT"/>
        <family val="2"/>
      </rPr>
      <t>08/12/2025</t>
    </r>
  </si>
  <si>
    <r>
      <rPr>
        <b/>
        <sz val="12"/>
        <rFont val="Arial"/>
        <family val="2"/>
      </rPr>
      <t>Company Code</t>
    </r>
  </si>
  <si>
    <r>
      <rPr>
        <sz val="12"/>
        <rFont val="Arial MT"/>
        <family val="2"/>
      </rPr>
      <t>CUS-727554</t>
    </r>
  </si>
  <si>
    <r>
      <rPr>
        <b/>
        <sz val="12"/>
        <rFont val="Arial"/>
        <family val="2"/>
      </rPr>
      <t>Company Name</t>
    </r>
  </si>
  <si>
    <r>
      <rPr>
        <sz val="12"/>
        <rFont val="Arial MT"/>
        <family val="2"/>
      </rPr>
      <t>Tingre estates pvt ltd</t>
    </r>
  </si>
  <si>
    <r>
      <rPr>
        <b/>
        <sz val="12"/>
        <rFont val="Arial"/>
        <family val="2"/>
      </rPr>
      <t>Project Code</t>
    </r>
  </si>
  <si>
    <r>
      <rPr>
        <sz val="12"/>
        <rFont val="Arial MT"/>
        <family val="2"/>
      </rPr>
      <t>CUS-727555</t>
    </r>
  </si>
  <si>
    <r>
      <rPr>
        <b/>
        <sz val="12"/>
        <rFont val="Arial"/>
        <family val="2"/>
      </rPr>
      <t>Project Name</t>
    </r>
  </si>
  <si>
    <r>
      <rPr>
        <sz val="12"/>
        <rFont val="Arial MT"/>
        <family val="2"/>
      </rPr>
      <t>Ravi Empire</t>
    </r>
  </si>
  <si>
    <r>
      <rPr>
        <b/>
        <sz val="12"/>
        <rFont val="Arial"/>
        <family val="2"/>
      </rPr>
      <t>Site Code</t>
    </r>
  </si>
  <si>
    <r>
      <rPr>
        <sz val="12"/>
        <rFont val="Arial MT"/>
        <family val="2"/>
      </rPr>
      <t>CUS-727556</t>
    </r>
  </si>
  <si>
    <r>
      <rPr>
        <b/>
        <sz val="12"/>
        <rFont val="Arial"/>
        <family val="2"/>
      </rPr>
      <t>Site Name</t>
    </r>
  </si>
  <si>
    <r>
      <rPr>
        <b/>
        <sz val="12"/>
        <rFont val="Arial"/>
        <family val="2"/>
      </rPr>
      <t>Address</t>
    </r>
  </si>
  <si>
    <r>
      <rPr>
        <sz val="12"/>
        <rFont val="Arial MT"/>
        <family val="2"/>
      </rPr>
      <t>Parage nagar</t>
    </r>
  </si>
  <si>
    <r>
      <rPr>
        <b/>
        <sz val="12"/>
        <rFont val="Arial"/>
        <family val="2"/>
      </rPr>
      <t>Contact Person</t>
    </r>
  </si>
  <si>
    <r>
      <rPr>
        <sz val="12"/>
        <rFont val="Arial MT"/>
        <family val="2"/>
      </rPr>
      <t>Kanhu Katake</t>
    </r>
  </si>
  <si>
    <r>
      <rPr>
        <b/>
        <sz val="12"/>
        <rFont val="Arial"/>
        <family val="2"/>
      </rPr>
      <t>City</t>
    </r>
  </si>
  <si>
    <r>
      <rPr>
        <sz val="12"/>
        <rFont val="Arial MT"/>
        <family val="2"/>
      </rPr>
      <t>Pune</t>
    </r>
  </si>
  <si>
    <r>
      <rPr>
        <b/>
        <sz val="12"/>
        <rFont val="Arial"/>
        <family val="2"/>
      </rPr>
      <t>Mobile</t>
    </r>
  </si>
  <si>
    <r>
      <rPr>
        <b/>
        <sz val="12"/>
        <rFont val="Arial"/>
        <family val="2"/>
      </rPr>
      <t>State</t>
    </r>
  </si>
  <si>
    <r>
      <rPr>
        <sz val="12"/>
        <rFont val="Arial MT"/>
        <family val="2"/>
      </rPr>
      <t>Maharashtra</t>
    </r>
  </si>
  <si>
    <r>
      <rPr>
        <b/>
        <sz val="12"/>
        <rFont val="Arial"/>
        <family val="2"/>
      </rPr>
      <t>Email</t>
    </r>
  </si>
  <si>
    <r>
      <rPr>
        <sz val="12"/>
        <rFont val="Arial MT"/>
        <family val="2"/>
      </rPr>
      <t>kanhu1971@gmail.com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</si>
</sst>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0">
    <font>
      <sz val="11"/>
      <color theme="1"/>
      <name val="Calibri"/>
      <family val="2"/>
      <scheme val="minor"/>
    </font>
    <font>
      <sz val="14"/>
      <color theme="1"/>
      <name val="Times New Roman"/>
      <family val="1"/>
    </font>
    <font>
      <b/>
      <sz val="28"/>
      <color rgb="FFFF6600"/>
      <name val="Times New Roman"/>
      <family val="1"/>
    </font>
    <font>
      <sz val="20"/>
      <color theme="1"/>
      <name val="Times New Roman"/>
      <family val="1"/>
    </font>
    <font>
      <vertAlign val="superscript"/>
      <sz val="20"/>
      <color theme="1"/>
      <name val="Times New Roman"/>
      <family val="1"/>
    </font>
    <font>
      <sz val="18"/>
      <color theme="1"/>
      <name val="Times New Roman"/>
      <family val="1"/>
    </font>
    <font>
      <b/>
      <sz val="16"/>
      <color rgb="FFFF6600"/>
      <name val="Times New Roman"/>
      <family val="1"/>
    </font>
    <font>
      <sz val="16"/>
      <color theme="1"/>
      <name val="Times New Roman"/>
      <family val="1"/>
    </font>
    <font>
      <b/>
      <u/>
      <sz val="16"/>
      <color theme="1"/>
      <name val="Times New Roman"/>
      <family val="1"/>
    </font>
    <font>
      <b/>
      <sz val="16"/>
      <color theme="1"/>
      <name val="Times New Roman"/>
      <family val="1"/>
    </font>
    <font>
      <b/>
      <sz val="14"/>
      <color theme="1"/>
      <name val="Times New Roman"/>
      <family val="1"/>
    </font>
    <font>
      <sz val="16"/>
      <color theme="1"/>
      <name val="Cambria"/>
      <family val="1"/>
    </font>
    <font>
      <sz val="14"/>
      <color theme="1"/>
      <name val="Cambria"/>
      <family val="1"/>
    </font>
    <font>
      <b/>
      <sz val="16"/>
      <color theme="1"/>
      <name val="Cambria"/>
      <family val="1"/>
    </font>
    <font>
      <b/>
      <sz val="20"/>
      <color theme="1"/>
      <name val="Times New Roman"/>
      <family val="1"/>
    </font>
    <font>
      <b/>
      <sz val="12"/>
      <name val="Arial"/>
      <family val="2"/>
    </font>
    <font>
      <sz val="12"/>
      <name val="Arial MT"/>
      <family val="2"/>
    </font>
    <font>
      <b/>
      <sz val="12"/>
      <name val="Arial"/>
    </font>
    <font>
      <sz val="12"/>
      <name val="Arial MT"/>
    </font>
    <font>
      <sz val="12"/>
      <color rgb="FF000000"/>
      <name val="Arial MT"/>
      <family val="2"/>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7" tint="0.59999389629810485"/>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81">
    <xf numFmtId="0" fontId="0" fillId="0" borderId="0" xfId="0"/>
    <xf numFmtId="0" fontId="6" fillId="0" borderId="0" xfId="0" applyFont="1" applyAlignment="1">
      <alignment vertical="center"/>
    </xf>
    <xf numFmtId="0" fontId="7" fillId="0" borderId="0" xfId="0" applyFont="1"/>
    <xf numFmtId="0" fontId="1" fillId="0" borderId="0" xfId="0" applyFont="1"/>
    <xf numFmtId="0" fontId="1" fillId="0" borderId="0" xfId="0" applyFont="1" applyAlignment="1">
      <alignment wrapText="1"/>
    </xf>
    <xf numFmtId="0" fontId="1" fillId="0" borderId="0" xfId="0" applyFont="1" applyAlignment="1">
      <alignment horizontal="center" vertical="center"/>
    </xf>
    <xf numFmtId="0" fontId="10" fillId="0" borderId="0" xfId="0" applyFont="1" applyAlignment="1">
      <alignment vertical="center" wrapText="1"/>
    </xf>
    <xf numFmtId="0" fontId="2" fillId="0" borderId="0" xfId="0" applyFont="1" applyAlignment="1"/>
    <xf numFmtId="0" fontId="1" fillId="0" borderId="0" xfId="0" applyFont="1" applyAlignment="1">
      <alignment horizontal="center" wrapText="1"/>
    </xf>
    <xf numFmtId="0" fontId="10" fillId="0" borderId="0" xfId="0" applyFont="1" applyAlignment="1">
      <alignment vertical="center"/>
    </xf>
    <xf numFmtId="0" fontId="7" fillId="0" borderId="0" xfId="0" applyFont="1" applyAlignment="1">
      <alignment horizontal="center"/>
    </xf>
    <xf numFmtId="0" fontId="11" fillId="0" borderId="0" xfId="0" applyFont="1" applyAlignment="1">
      <alignment horizontal="left" vertical="center"/>
    </xf>
    <xf numFmtId="0" fontId="6" fillId="0" borderId="0" xfId="0" applyFont="1" applyAlignment="1"/>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left" vertical="center"/>
    </xf>
    <xf numFmtId="0" fontId="3" fillId="0" borderId="0" xfId="0" applyFont="1" applyAlignment="1">
      <alignment vertical="center"/>
    </xf>
    <xf numFmtId="0" fontId="8" fillId="0" borderId="0" xfId="0" applyFont="1" applyAlignment="1">
      <alignment vertical="center"/>
    </xf>
    <xf numFmtId="0" fontId="12" fillId="0" borderId="0" xfId="0" applyFont="1" applyAlignment="1">
      <alignment vertical="center" wrapText="1"/>
    </xf>
    <xf numFmtId="0" fontId="13" fillId="0" borderId="0" xfId="0" applyFont="1" applyAlignment="1">
      <alignment horizontal="justify" vertical="center"/>
    </xf>
    <xf numFmtId="0" fontId="11" fillId="0" borderId="0" xfId="0" applyFont="1" applyAlignment="1">
      <alignment horizontal="justify" vertical="center"/>
    </xf>
    <xf numFmtId="0" fontId="13" fillId="0" borderId="0" xfId="0" applyFont="1" applyAlignment="1">
      <alignment vertical="center"/>
    </xf>
    <xf numFmtId="0" fontId="13" fillId="0" borderId="0" xfId="0" applyFont="1" applyAlignment="1">
      <alignment horizontal="left" vertical="center"/>
    </xf>
    <xf numFmtId="0" fontId="7" fillId="0" borderId="0" xfId="0" applyFont="1" applyAlignment="1">
      <alignment horizontal="left"/>
    </xf>
    <xf numFmtId="0" fontId="1" fillId="0" borderId="6" xfId="0" applyFont="1" applyBorder="1" applyAlignment="1">
      <alignment horizontal="center" vertical="center"/>
    </xf>
    <xf numFmtId="0" fontId="1" fillId="0" borderId="6" xfId="0" applyFont="1" applyBorder="1" applyAlignment="1">
      <alignment horizontal="center" vertical="center" wrapText="1"/>
    </xf>
    <xf numFmtId="2" fontId="1" fillId="0" borderId="6" xfId="0" applyNumberFormat="1" applyFont="1" applyBorder="1" applyAlignment="1">
      <alignment horizontal="center" vertical="center"/>
    </xf>
    <xf numFmtId="164" fontId="1" fillId="0" borderId="6" xfId="0" applyNumberFormat="1" applyFont="1" applyBorder="1" applyAlignment="1">
      <alignment horizontal="center" vertical="center"/>
    </xf>
    <xf numFmtId="0" fontId="1" fillId="0" borderId="6" xfId="0" applyFont="1" applyBorder="1" applyAlignment="1">
      <alignment vertical="center"/>
    </xf>
    <xf numFmtId="0" fontId="5" fillId="0" borderId="6" xfId="0" applyFont="1" applyBorder="1" applyAlignment="1">
      <alignment horizontal="center" vertical="center"/>
    </xf>
    <xf numFmtId="2" fontId="5" fillId="4" borderId="6" xfId="0" applyNumberFormat="1" applyFont="1" applyFill="1" applyBorder="1" applyAlignment="1">
      <alignment horizontal="center" vertical="center"/>
    </xf>
    <xf numFmtId="2" fontId="5" fillId="0" borderId="6" xfId="0" applyNumberFormat="1" applyFont="1" applyBorder="1" applyAlignment="1">
      <alignment horizontal="center" vertical="center"/>
    </xf>
    <xf numFmtId="0" fontId="5" fillId="3" borderId="6" xfId="0" applyFont="1" applyFill="1" applyBorder="1" applyAlignment="1">
      <alignment horizontal="center" vertical="center"/>
    </xf>
    <xf numFmtId="2" fontId="5" fillId="3" borderId="6" xfId="0" applyNumberFormat="1" applyFont="1" applyFill="1" applyBorder="1" applyAlignment="1">
      <alignment horizontal="center" vertical="center"/>
    </xf>
    <xf numFmtId="0" fontId="9" fillId="0" borderId="6" xfId="0" applyFont="1" applyBorder="1" applyAlignment="1">
      <alignment vertical="center"/>
    </xf>
    <xf numFmtId="0" fontId="1" fillId="0" borderId="0" xfId="0" applyFont="1" applyAlignment="1">
      <alignment horizontal="left"/>
    </xf>
    <xf numFmtId="0" fontId="12" fillId="0" borderId="0" xfId="0" applyFont="1" applyAlignment="1">
      <alignment horizontal="left" vertical="center" wrapText="1"/>
    </xf>
    <xf numFmtId="0" fontId="10" fillId="0" borderId="6" xfId="0" applyFont="1" applyBorder="1" applyAlignment="1">
      <alignment horizontal="left" vertical="center"/>
    </xf>
    <xf numFmtId="0" fontId="10" fillId="0" borderId="1" xfId="0" applyFont="1" applyBorder="1" applyAlignment="1">
      <alignment horizontal="left"/>
    </xf>
    <xf numFmtId="0" fontId="1" fillId="0" borderId="0" xfId="0" applyFont="1" applyBorder="1" applyAlignment="1">
      <alignment horizontal="left"/>
    </xf>
    <xf numFmtId="0" fontId="1" fillId="0" borderId="0" xfId="0" applyFont="1" applyBorder="1" applyAlignment="1"/>
    <xf numFmtId="0" fontId="10" fillId="0" borderId="0" xfId="0" applyFont="1" applyBorder="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0" fillId="0" borderId="6" xfId="0" applyFont="1"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wrapText="1"/>
    </xf>
    <xf numFmtId="0" fontId="14" fillId="4" borderId="1" xfId="0" applyFont="1" applyFill="1" applyBorder="1" applyAlignment="1">
      <alignment horizontal="left"/>
    </xf>
    <xf numFmtId="0" fontId="11" fillId="0" borderId="0" xfId="0" applyFont="1" applyAlignment="1">
      <alignment horizontal="left" vertical="center"/>
    </xf>
    <xf numFmtId="0" fontId="13" fillId="0" borderId="0" xfId="0" applyFont="1" applyAlignment="1">
      <alignment horizontal="lef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10" fillId="0" borderId="0" xfId="0" applyFont="1" applyAlignment="1">
      <alignment horizontal="left" vertical="center" wrapText="1"/>
    </xf>
    <xf numFmtId="0" fontId="7" fillId="0" borderId="5" xfId="0" applyFont="1" applyBorder="1" applyAlignment="1">
      <alignment horizontal="left" vertical="center" wrapText="1"/>
    </xf>
    <xf numFmtId="0" fontId="10" fillId="0" borderId="6" xfId="0" applyFont="1" applyBorder="1" applyAlignment="1">
      <alignment horizontal="left" vertical="center"/>
    </xf>
    <xf numFmtId="0" fontId="5" fillId="2" borderId="6" xfId="0" applyFont="1" applyFill="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10" fillId="0" borderId="2" xfId="0" applyFont="1" applyBorder="1" applyAlignment="1">
      <alignment horizontal="left"/>
    </xf>
    <xf numFmtId="0" fontId="10" fillId="0" borderId="4" xfId="0" applyFont="1" applyBorder="1" applyAlignment="1">
      <alignment horizontal="left"/>
    </xf>
    <xf numFmtId="0" fontId="0" fillId="0" borderId="12" xfId="0" applyFill="1" applyBorder="1" applyAlignment="1">
      <alignment horizontal="left" vertical="top" wrapText="1"/>
    </xf>
    <xf numFmtId="0" fontId="0" fillId="0" borderId="13" xfId="0" applyFill="1" applyBorder="1" applyAlignment="1">
      <alignment horizontal="left" vertical="top" wrapText="1"/>
    </xf>
    <xf numFmtId="0" fontId="0" fillId="0" borderId="14" xfId="0" applyFill="1" applyBorder="1" applyAlignment="1">
      <alignment horizontal="left" vertical="top" wrapText="1"/>
    </xf>
    <xf numFmtId="0" fontId="17" fillId="0" borderId="12" xfId="0" applyFont="1" applyFill="1" applyBorder="1" applyAlignment="1">
      <alignment horizontal="left" vertical="top" wrapText="1"/>
    </xf>
    <xf numFmtId="0" fontId="17" fillId="0" borderId="13" xfId="0" applyFont="1" applyFill="1" applyBorder="1" applyAlignment="1">
      <alignment horizontal="left" vertical="top" wrapText="1"/>
    </xf>
    <xf numFmtId="0" fontId="18" fillId="0" borderId="14" xfId="0" applyFont="1" applyFill="1" applyBorder="1" applyAlignment="1">
      <alignment horizontal="left" vertical="top" wrapText="1"/>
    </xf>
    <xf numFmtId="0" fontId="18" fillId="0" borderId="12" xfId="0" applyFont="1" applyFill="1" applyBorder="1" applyAlignment="1">
      <alignment horizontal="left" vertical="top" wrapText="1"/>
    </xf>
    <xf numFmtId="0" fontId="18" fillId="0" borderId="13" xfId="0" applyFont="1" applyFill="1" applyBorder="1" applyAlignment="1">
      <alignment horizontal="left" vertical="top" wrapText="1"/>
    </xf>
    <xf numFmtId="0" fontId="17" fillId="0" borderId="14" xfId="0" applyFont="1" applyFill="1" applyBorder="1" applyAlignment="1">
      <alignment horizontal="left" vertical="top" wrapText="1"/>
    </xf>
    <xf numFmtId="1" fontId="19" fillId="0" borderId="14" xfId="0" applyNumberFormat="1" applyFont="1" applyFill="1" applyBorder="1" applyAlignment="1">
      <alignment horizontal="left" vertical="top" shrinkToFit="1"/>
    </xf>
    <xf numFmtId="1" fontId="19" fillId="0" borderId="12" xfId="0" applyNumberFormat="1" applyFont="1" applyFill="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8</xdr:col>
      <xdr:colOff>0</xdr:colOff>
      <xdr:row>18</xdr:row>
      <xdr:rowOff>0</xdr:rowOff>
    </xdr:from>
    <xdr:ext cx="25400" cy="233679"/>
    <xdr:sp macro="" textlink="">
      <xdr:nvSpPr>
        <xdr:cNvPr id="2" name="Shape 2"/>
        <xdr:cNvSpPr/>
      </xdr:nvSpPr>
      <xdr:spPr>
        <a:xfrm>
          <a:off x="0" y="0"/>
          <a:ext cx="25400" cy="233679"/>
        </a:xfrm>
        <a:custGeom>
          <a:avLst/>
          <a:gdLst/>
          <a:ahLst/>
          <a:cxnLst/>
          <a:rect l="0" t="0" r="0" b="0"/>
          <a:pathLst>
            <a:path w="25400" h="233679">
              <a:moveTo>
                <a:pt x="25400" y="25400"/>
              </a:moveTo>
              <a:lnTo>
                <a:pt x="25400" y="208279"/>
              </a:lnTo>
              <a:lnTo>
                <a:pt x="0" y="233679"/>
              </a:lnTo>
              <a:lnTo>
                <a:pt x="0" y="0"/>
              </a:lnTo>
              <a:lnTo>
                <a:pt x="25400" y="25400"/>
              </a:lnTo>
              <a:close/>
            </a:path>
          </a:pathLst>
        </a:custGeom>
        <a:solidFill>
          <a:srgbClr val="000000"/>
        </a:solidFill>
      </xdr:spPr>
    </xdr:sp>
    <xdr:clientData/>
  </xdr:oneCellAnchor>
  <xdr:oneCellAnchor>
    <xdr:from>
      <xdr:col>21</xdr:col>
      <xdr:colOff>8164</xdr:colOff>
      <xdr:row>18</xdr:row>
      <xdr:rowOff>0</xdr:rowOff>
    </xdr:from>
    <xdr:ext cx="25400" cy="233679"/>
    <xdr:sp macro="" textlink="">
      <xdr:nvSpPr>
        <xdr:cNvPr id="3" name="Shape 3"/>
        <xdr:cNvSpPr/>
      </xdr:nvSpPr>
      <xdr:spPr>
        <a:xfrm>
          <a:off x="14094278" y="4942114"/>
          <a:ext cx="25400" cy="233679"/>
        </a:xfrm>
        <a:custGeom>
          <a:avLst/>
          <a:gdLst/>
          <a:ahLst/>
          <a:cxnLst/>
          <a:rect l="0" t="0" r="0" b="0"/>
          <a:pathLst>
            <a:path w="25400" h="233679">
              <a:moveTo>
                <a:pt x="0" y="208279"/>
              </a:moveTo>
              <a:lnTo>
                <a:pt x="0" y="25400"/>
              </a:lnTo>
              <a:lnTo>
                <a:pt x="25400" y="0"/>
              </a:lnTo>
              <a:lnTo>
                <a:pt x="25400" y="233679"/>
              </a:lnTo>
              <a:lnTo>
                <a:pt x="0" y="208279"/>
              </a:lnTo>
              <a:close/>
            </a:path>
          </a:pathLst>
        </a:custGeom>
        <a:solidFill>
          <a:srgbClr val="000000"/>
        </a:solidFill>
      </xdr:spPr>
    </xdr:sp>
    <xdr:clientData/>
  </xdr:oneCellAnchor>
  <xdr:oneCellAnchor>
    <xdr:from>
      <xdr:col>8</xdr:col>
      <xdr:colOff>0</xdr:colOff>
      <xdr:row>18</xdr:row>
      <xdr:rowOff>0</xdr:rowOff>
    </xdr:from>
    <xdr:ext cx="7340600" cy="220979"/>
    <xdr:grpSp>
      <xdr:nvGrpSpPr>
        <xdr:cNvPr id="4" name="Group 4"/>
        <xdr:cNvGrpSpPr/>
      </xdr:nvGrpSpPr>
      <xdr:grpSpPr>
        <a:xfrm>
          <a:off x="12083143" y="4942114"/>
          <a:ext cx="7340600" cy="220979"/>
          <a:chOff x="0" y="0"/>
          <a:chExt cx="7341108" cy="221615"/>
        </a:xfrm>
      </xdr:grpSpPr>
      <xdr:sp macro="" textlink="">
        <xdr:nvSpPr>
          <xdr:cNvPr id="5" name="Shape 5"/>
          <xdr:cNvSpPr/>
        </xdr:nvSpPr>
        <xdr:spPr>
          <a:xfrm>
            <a:off x="0" y="0"/>
            <a:ext cx="1256665" cy="221615"/>
          </a:xfrm>
          <a:custGeom>
            <a:avLst/>
            <a:gdLst/>
            <a:ahLst/>
            <a:cxnLst/>
            <a:rect l="0" t="0" r="0" b="0"/>
            <a:pathLst>
              <a:path w="1256665" h="221615">
                <a:moveTo>
                  <a:pt x="25400" y="25412"/>
                </a:moveTo>
                <a:lnTo>
                  <a:pt x="0" y="12"/>
                </a:lnTo>
                <a:lnTo>
                  <a:pt x="0" y="220992"/>
                </a:lnTo>
                <a:lnTo>
                  <a:pt x="12700" y="220992"/>
                </a:lnTo>
                <a:lnTo>
                  <a:pt x="25400" y="208292"/>
                </a:lnTo>
                <a:lnTo>
                  <a:pt x="25400" y="25412"/>
                </a:lnTo>
                <a:close/>
              </a:path>
              <a:path w="1256665" h="221615">
                <a:moveTo>
                  <a:pt x="1256271" y="0"/>
                </a:moveTo>
                <a:lnTo>
                  <a:pt x="0" y="0"/>
                </a:lnTo>
                <a:lnTo>
                  <a:pt x="25400" y="25400"/>
                </a:lnTo>
                <a:lnTo>
                  <a:pt x="1256271" y="25400"/>
                </a:lnTo>
                <a:lnTo>
                  <a:pt x="1256271" y="0"/>
                </a:lnTo>
                <a:close/>
              </a:path>
            </a:pathLst>
          </a:custGeom>
          <a:solidFill>
            <a:srgbClr val="000000"/>
          </a:solidFill>
        </xdr:spPr>
      </xdr:sp>
      <xdr:sp macro="" textlink="">
        <xdr:nvSpPr>
          <xdr:cNvPr id="6" name="Shape 6"/>
          <xdr:cNvSpPr/>
        </xdr:nvSpPr>
        <xdr:spPr>
          <a:xfrm>
            <a:off x="1256283" y="12700"/>
            <a:ext cx="1609725" cy="0"/>
          </a:xfrm>
          <a:custGeom>
            <a:avLst/>
            <a:gdLst/>
            <a:ahLst/>
            <a:cxnLst/>
            <a:rect l="0" t="0" r="0" b="0"/>
            <a:pathLst>
              <a:path w="1609725">
                <a:moveTo>
                  <a:pt x="0" y="0"/>
                </a:moveTo>
                <a:lnTo>
                  <a:pt x="1609344" y="0"/>
                </a:lnTo>
              </a:path>
            </a:pathLst>
          </a:custGeom>
          <a:ln w="25400">
            <a:solidFill>
              <a:srgbClr val="000000"/>
            </a:solidFill>
          </a:ln>
        </xdr:spPr>
      </xdr:sp>
      <xdr:sp macro="" textlink="">
        <xdr:nvSpPr>
          <xdr:cNvPr id="7" name="Shape 7"/>
          <xdr:cNvSpPr/>
        </xdr:nvSpPr>
        <xdr:spPr>
          <a:xfrm>
            <a:off x="2865627" y="12700"/>
            <a:ext cx="1463040" cy="0"/>
          </a:xfrm>
          <a:custGeom>
            <a:avLst/>
            <a:gdLst/>
            <a:ahLst/>
            <a:cxnLst/>
            <a:rect l="0" t="0" r="0" b="0"/>
            <a:pathLst>
              <a:path w="1463040">
                <a:moveTo>
                  <a:pt x="0" y="0"/>
                </a:moveTo>
                <a:lnTo>
                  <a:pt x="1463039" y="0"/>
                </a:lnTo>
              </a:path>
            </a:pathLst>
          </a:custGeom>
          <a:ln w="25400">
            <a:solidFill>
              <a:srgbClr val="000000"/>
            </a:solidFill>
          </a:ln>
        </xdr:spPr>
      </xdr:sp>
      <xdr:sp macro="" textlink="">
        <xdr:nvSpPr>
          <xdr:cNvPr id="8" name="Shape 8"/>
          <xdr:cNvSpPr/>
        </xdr:nvSpPr>
        <xdr:spPr>
          <a:xfrm>
            <a:off x="4328668" y="0"/>
            <a:ext cx="3012440" cy="220979"/>
          </a:xfrm>
          <a:custGeom>
            <a:avLst/>
            <a:gdLst/>
            <a:ahLst/>
            <a:cxnLst/>
            <a:rect l="0" t="0" r="0" b="0"/>
            <a:pathLst>
              <a:path w="3012440" h="220979">
                <a:moveTo>
                  <a:pt x="3011932" y="0"/>
                </a:moveTo>
                <a:lnTo>
                  <a:pt x="0" y="0"/>
                </a:lnTo>
                <a:lnTo>
                  <a:pt x="0" y="25400"/>
                </a:lnTo>
                <a:lnTo>
                  <a:pt x="2986532" y="25400"/>
                </a:lnTo>
                <a:lnTo>
                  <a:pt x="2986532" y="208280"/>
                </a:lnTo>
                <a:lnTo>
                  <a:pt x="2999232" y="220980"/>
                </a:lnTo>
                <a:lnTo>
                  <a:pt x="3011932" y="220980"/>
                </a:lnTo>
                <a:lnTo>
                  <a:pt x="3011932" y="0"/>
                </a:lnTo>
                <a:close/>
              </a:path>
            </a:pathLst>
          </a:custGeom>
          <a:solidFill>
            <a:srgbClr val="000000"/>
          </a:solidFill>
        </xdr:spPr>
      </xdr:sp>
      <xdr:sp macro="" textlink="">
        <xdr:nvSpPr>
          <xdr:cNvPr id="9" name="Textbox 9"/>
          <xdr:cNvSpPr txBox="1"/>
        </xdr:nvSpPr>
        <xdr:spPr>
          <a:xfrm>
            <a:off x="0" y="0"/>
            <a:ext cx="7340600" cy="220979"/>
          </a:xfrm>
          <a:prstGeom prst="rect">
            <a:avLst/>
          </a:prstGeom>
        </xdr:spPr>
        <xdr:txBody>
          <a:bodyPr vertOverflow="clip" lIns="0" tIns="0" rIns="0" bIns="0" anchor="t"/>
          <a:lstStyle/>
          <a:p>
            <a:endParaRPr sz="1200" b="1">
              <a:latin typeface="Arial"/>
              <a:cs typeface="Arial"/>
            </a:endParaRPr>
          </a:p>
        </xdr:txBody>
      </xdr:sp>
    </xdr:grpSp>
    <xdr:clientData/>
  </xdr:oneCellAnchor>
  <xdr:oneCellAnchor>
    <xdr:from>
      <xdr:col>8</xdr:col>
      <xdr:colOff>0</xdr:colOff>
      <xdr:row>18</xdr:row>
      <xdr:rowOff>208279</xdr:rowOff>
    </xdr:from>
    <xdr:ext cx="25400" cy="1262380"/>
    <xdr:sp macro="" textlink="">
      <xdr:nvSpPr>
        <xdr:cNvPr id="10" name="Shape 10"/>
        <xdr:cNvSpPr/>
      </xdr:nvSpPr>
      <xdr:spPr>
        <a:xfrm>
          <a:off x="0" y="208279"/>
          <a:ext cx="25400" cy="1262380"/>
        </a:xfrm>
        <a:custGeom>
          <a:avLst/>
          <a:gdLst/>
          <a:ahLst/>
          <a:cxnLst/>
          <a:rect l="0" t="0" r="0" b="0"/>
          <a:pathLst>
            <a:path w="25400" h="1262380">
              <a:moveTo>
                <a:pt x="25400" y="845832"/>
              </a:moveTo>
              <a:lnTo>
                <a:pt x="12700" y="833132"/>
              </a:lnTo>
              <a:lnTo>
                <a:pt x="0" y="833132"/>
              </a:lnTo>
              <a:lnTo>
                <a:pt x="0" y="1041400"/>
              </a:lnTo>
              <a:lnTo>
                <a:pt x="0" y="1262380"/>
              </a:lnTo>
              <a:lnTo>
                <a:pt x="25400" y="1236980"/>
              </a:lnTo>
              <a:lnTo>
                <a:pt x="25400" y="1054100"/>
              </a:lnTo>
              <a:lnTo>
                <a:pt x="12700" y="1041412"/>
              </a:lnTo>
              <a:lnTo>
                <a:pt x="25400" y="1028712"/>
              </a:lnTo>
              <a:lnTo>
                <a:pt x="25400" y="845832"/>
              </a:lnTo>
              <a:close/>
            </a:path>
            <a:path w="25400" h="1262380">
              <a:moveTo>
                <a:pt x="25400" y="429272"/>
              </a:moveTo>
              <a:lnTo>
                <a:pt x="12700" y="416572"/>
              </a:lnTo>
              <a:lnTo>
                <a:pt x="0" y="416572"/>
              </a:lnTo>
              <a:lnTo>
                <a:pt x="0" y="624840"/>
              </a:lnTo>
              <a:lnTo>
                <a:pt x="0" y="833120"/>
              </a:lnTo>
              <a:lnTo>
                <a:pt x="12700" y="833120"/>
              </a:lnTo>
              <a:lnTo>
                <a:pt x="25400" y="820420"/>
              </a:lnTo>
              <a:lnTo>
                <a:pt x="25400" y="637540"/>
              </a:lnTo>
              <a:lnTo>
                <a:pt x="12700" y="624852"/>
              </a:lnTo>
              <a:lnTo>
                <a:pt x="25400" y="612152"/>
              </a:lnTo>
              <a:lnTo>
                <a:pt x="25400" y="429272"/>
              </a:lnTo>
              <a:close/>
            </a:path>
            <a:path w="25400" h="1262380">
              <a:moveTo>
                <a:pt x="25400" y="12700"/>
              </a:moveTo>
              <a:lnTo>
                <a:pt x="12700" y="0"/>
              </a:lnTo>
              <a:lnTo>
                <a:pt x="0" y="0"/>
              </a:lnTo>
              <a:lnTo>
                <a:pt x="0" y="208280"/>
              </a:lnTo>
              <a:lnTo>
                <a:pt x="0" y="416560"/>
              </a:lnTo>
              <a:lnTo>
                <a:pt x="12700" y="416560"/>
              </a:lnTo>
              <a:lnTo>
                <a:pt x="25400" y="403860"/>
              </a:lnTo>
              <a:lnTo>
                <a:pt x="25400" y="220980"/>
              </a:lnTo>
              <a:lnTo>
                <a:pt x="12700" y="208280"/>
              </a:lnTo>
              <a:lnTo>
                <a:pt x="25400" y="195580"/>
              </a:lnTo>
              <a:lnTo>
                <a:pt x="25400" y="12700"/>
              </a:lnTo>
              <a:close/>
            </a:path>
          </a:pathLst>
        </a:custGeom>
        <a:solidFill>
          <a:srgbClr val="000000"/>
        </a:solidFill>
      </xdr:spPr>
    </xdr:sp>
    <xdr:clientData/>
  </xdr:oneCellAnchor>
  <xdr:oneCellAnchor>
    <xdr:from>
      <xdr:col>21</xdr:col>
      <xdr:colOff>4482</xdr:colOff>
      <xdr:row>18</xdr:row>
      <xdr:rowOff>208292</xdr:rowOff>
    </xdr:from>
    <xdr:ext cx="25400" cy="1262380"/>
    <xdr:sp macro="" textlink="">
      <xdr:nvSpPr>
        <xdr:cNvPr id="11" name="Shape 11"/>
        <xdr:cNvSpPr/>
      </xdr:nvSpPr>
      <xdr:spPr>
        <a:xfrm>
          <a:off x="14090596" y="5150406"/>
          <a:ext cx="25400" cy="1262380"/>
        </a:xfrm>
        <a:custGeom>
          <a:avLst/>
          <a:gdLst/>
          <a:ahLst/>
          <a:cxnLst/>
          <a:rect l="0" t="0" r="0" b="0"/>
          <a:pathLst>
            <a:path w="25400" h="1262380">
              <a:moveTo>
                <a:pt x="25400" y="1041400"/>
              </a:moveTo>
              <a:lnTo>
                <a:pt x="12700" y="1041400"/>
              </a:lnTo>
              <a:lnTo>
                <a:pt x="0" y="1054100"/>
              </a:lnTo>
              <a:lnTo>
                <a:pt x="0" y="1236980"/>
              </a:lnTo>
              <a:lnTo>
                <a:pt x="25400" y="1262380"/>
              </a:lnTo>
              <a:lnTo>
                <a:pt x="25400" y="1041400"/>
              </a:lnTo>
              <a:close/>
            </a:path>
            <a:path w="25400" h="1262380">
              <a:moveTo>
                <a:pt x="25400" y="624840"/>
              </a:moveTo>
              <a:lnTo>
                <a:pt x="12700" y="624840"/>
              </a:lnTo>
              <a:lnTo>
                <a:pt x="0" y="637540"/>
              </a:lnTo>
              <a:lnTo>
                <a:pt x="0" y="820420"/>
              </a:lnTo>
              <a:lnTo>
                <a:pt x="12687" y="833120"/>
              </a:lnTo>
              <a:lnTo>
                <a:pt x="0" y="845807"/>
              </a:lnTo>
              <a:lnTo>
                <a:pt x="0" y="1028687"/>
              </a:lnTo>
              <a:lnTo>
                <a:pt x="12700" y="1041387"/>
              </a:lnTo>
              <a:lnTo>
                <a:pt x="25400" y="1041387"/>
              </a:lnTo>
              <a:lnTo>
                <a:pt x="25400" y="833120"/>
              </a:lnTo>
              <a:lnTo>
                <a:pt x="25400" y="624840"/>
              </a:lnTo>
              <a:close/>
            </a:path>
            <a:path w="25400" h="1262380">
              <a:moveTo>
                <a:pt x="25400" y="0"/>
              </a:moveTo>
              <a:lnTo>
                <a:pt x="12700" y="0"/>
              </a:lnTo>
              <a:lnTo>
                <a:pt x="0" y="12700"/>
              </a:lnTo>
              <a:lnTo>
                <a:pt x="0" y="195580"/>
              </a:lnTo>
              <a:lnTo>
                <a:pt x="12687" y="208280"/>
              </a:lnTo>
              <a:lnTo>
                <a:pt x="0" y="220967"/>
              </a:lnTo>
              <a:lnTo>
                <a:pt x="0" y="403847"/>
              </a:lnTo>
              <a:lnTo>
                <a:pt x="12700" y="416547"/>
              </a:lnTo>
              <a:lnTo>
                <a:pt x="0" y="429247"/>
              </a:lnTo>
              <a:lnTo>
                <a:pt x="0" y="612127"/>
              </a:lnTo>
              <a:lnTo>
                <a:pt x="12700" y="624827"/>
              </a:lnTo>
              <a:lnTo>
                <a:pt x="25400" y="624827"/>
              </a:lnTo>
              <a:lnTo>
                <a:pt x="25400" y="416547"/>
              </a:lnTo>
              <a:lnTo>
                <a:pt x="25400" y="208280"/>
              </a:lnTo>
              <a:lnTo>
                <a:pt x="2540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kanhu197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7"/>
  <sheetViews>
    <sheetView view="pageBreakPreview" topLeftCell="A37" zoomScale="60" zoomScaleNormal="115" workbookViewId="0">
      <selection activeCell="A37" sqref="A1:XFD1048576"/>
    </sheetView>
  </sheetViews>
  <sheetFormatPr defaultColWidth="9.109375" defaultRowHeight="21"/>
  <cols>
    <col min="1" max="2" width="9.109375" style="2"/>
    <col min="3" max="3" width="21.6640625" style="2" customWidth="1"/>
    <col min="4" max="4" width="52.6640625" style="10" bestFit="1" customWidth="1"/>
    <col min="5" max="5" width="12.6640625" style="2" bestFit="1" customWidth="1"/>
    <col min="6" max="6" width="30.88671875" style="2" bestFit="1" customWidth="1"/>
    <col min="7" max="7" width="28" style="2" customWidth="1"/>
    <col min="8" max="8" width="12.109375" style="2" bestFit="1" customWidth="1"/>
    <col min="9" max="16384" width="9.109375" style="2"/>
  </cols>
  <sheetData>
    <row r="1" spans="1:16" ht="43.5" customHeight="1" thickBot="1">
      <c r="A1" s="1"/>
      <c r="C1" s="60" t="s">
        <v>0</v>
      </c>
      <c r="D1" s="61"/>
      <c r="E1" s="61"/>
      <c r="F1" s="61"/>
      <c r="G1" s="62"/>
      <c r="H1" s="7"/>
      <c r="I1" s="7"/>
      <c r="J1" s="12"/>
      <c r="K1" s="12"/>
      <c r="L1" s="12"/>
      <c r="M1" s="12"/>
      <c r="N1" s="1"/>
      <c r="O1" s="1"/>
      <c r="P1" s="1"/>
    </row>
    <row r="2" spans="1:16" ht="43.5" customHeight="1" thickBot="1">
      <c r="A2" s="1"/>
      <c r="C2" s="50" t="s">
        <v>4</v>
      </c>
      <c r="D2" s="51"/>
      <c r="E2" s="51"/>
      <c r="F2" s="51"/>
      <c r="G2" s="52"/>
      <c r="H2" s="16"/>
      <c r="I2" s="16"/>
      <c r="J2" s="14"/>
      <c r="K2" s="14"/>
      <c r="L2" s="14"/>
      <c r="M2" s="1"/>
      <c r="N2" s="1"/>
      <c r="O2" s="1"/>
      <c r="P2" s="1"/>
    </row>
    <row r="3" spans="1:16" ht="21.6" thickBot="1">
      <c r="C3" s="53" t="s">
        <v>1</v>
      </c>
      <c r="D3" s="54"/>
      <c r="E3" s="54"/>
      <c r="F3" s="54"/>
      <c r="G3" s="55"/>
      <c r="H3" s="17"/>
      <c r="I3" s="17"/>
    </row>
    <row r="4" spans="1:16" ht="21.6" thickBot="1">
      <c r="C4" s="23"/>
      <c r="D4" s="23"/>
      <c r="E4" s="23"/>
      <c r="F4" s="23"/>
      <c r="G4" s="23"/>
    </row>
    <row r="5" spans="1:16" s="3" customFormat="1" ht="18.600000000000001" thickBot="1">
      <c r="C5" s="68" t="s">
        <v>47</v>
      </c>
      <c r="D5" s="69"/>
      <c r="E5" s="39"/>
      <c r="F5" s="35"/>
      <c r="G5" s="38" t="s">
        <v>48</v>
      </c>
    </row>
    <row r="6" spans="1:16" s="3" customFormat="1" ht="18.600000000000001" thickBot="1">
      <c r="C6" s="35"/>
      <c r="D6" s="40"/>
      <c r="E6" s="40"/>
      <c r="F6" s="35"/>
      <c r="G6" s="35"/>
    </row>
    <row r="7" spans="1:16" s="3" customFormat="1" ht="25.2" thickBot="1">
      <c r="C7" s="35"/>
      <c r="D7" s="40"/>
      <c r="E7" s="40"/>
      <c r="F7" s="35"/>
      <c r="G7" s="47" t="s">
        <v>57</v>
      </c>
    </row>
    <row r="8" spans="1:16" s="3" customFormat="1" ht="18">
      <c r="C8" s="58" t="s">
        <v>2</v>
      </c>
      <c r="D8" s="58"/>
      <c r="E8" s="35"/>
      <c r="F8" s="35"/>
      <c r="G8" s="35"/>
    </row>
    <row r="9" spans="1:16" s="3" customFormat="1" ht="18">
      <c r="C9" s="58" t="s">
        <v>3</v>
      </c>
      <c r="D9" s="58"/>
      <c r="E9" s="35"/>
      <c r="F9" s="35"/>
      <c r="G9" s="35"/>
    </row>
    <row r="10" spans="1:16" s="3" customFormat="1" ht="18">
      <c r="C10" s="58" t="s">
        <v>49</v>
      </c>
      <c r="D10" s="58"/>
      <c r="E10" s="35"/>
      <c r="F10" s="35"/>
      <c r="G10" s="35"/>
      <c r="O10" s="4"/>
    </row>
    <row r="11" spans="1:16" s="3" customFormat="1" ht="18">
      <c r="C11" s="37" t="s">
        <v>50</v>
      </c>
      <c r="D11" s="37"/>
      <c r="E11" s="9"/>
      <c r="F11" s="9"/>
      <c r="G11" s="35"/>
    </row>
    <row r="12" spans="1:16" s="3" customFormat="1" ht="74.25" customHeight="1">
      <c r="C12" s="63" t="s">
        <v>51</v>
      </c>
      <c r="D12" s="64"/>
      <c r="E12" s="35"/>
      <c r="F12" s="35"/>
      <c r="G12" s="35"/>
    </row>
    <row r="13" spans="1:16" s="3" customFormat="1" ht="18">
      <c r="C13" s="58" t="s">
        <v>52</v>
      </c>
      <c r="D13" s="58"/>
      <c r="E13" s="9"/>
      <c r="F13" s="35"/>
      <c r="G13" s="35"/>
    </row>
    <row r="14" spans="1:16" s="3" customFormat="1" ht="18">
      <c r="C14" s="37" t="s">
        <v>53</v>
      </c>
      <c r="D14" s="37"/>
      <c r="E14" s="9"/>
      <c r="F14" s="35"/>
      <c r="G14" s="35"/>
    </row>
    <row r="15" spans="1:16" s="3" customFormat="1" ht="18">
      <c r="C15" s="37" t="s">
        <v>54</v>
      </c>
      <c r="D15" s="37"/>
      <c r="E15" s="9"/>
      <c r="F15" s="35"/>
      <c r="G15" s="35"/>
    </row>
    <row r="16" spans="1:16" s="3" customFormat="1" ht="18">
      <c r="C16" s="41"/>
      <c r="D16" s="41"/>
      <c r="E16" s="9"/>
      <c r="F16" s="35"/>
      <c r="G16" s="35"/>
    </row>
    <row r="17" spans="3:14" s="3" customFormat="1" ht="42" customHeight="1">
      <c r="C17" s="56" t="s">
        <v>56</v>
      </c>
      <c r="D17" s="56"/>
      <c r="E17" s="56"/>
      <c r="F17" s="56"/>
      <c r="G17" s="56"/>
      <c r="H17" s="6"/>
      <c r="I17" s="6"/>
      <c r="J17" s="6"/>
      <c r="K17" s="6"/>
      <c r="L17" s="6"/>
      <c r="M17" s="6"/>
      <c r="N17" s="6"/>
    </row>
    <row r="18" spans="3:14" s="3" customFormat="1" ht="21.75" customHeight="1">
      <c r="C18" s="42"/>
      <c r="D18" s="42"/>
      <c r="E18" s="42"/>
      <c r="F18" s="42"/>
      <c r="G18" s="42"/>
      <c r="H18" s="6"/>
      <c r="I18" s="6"/>
      <c r="J18" s="6"/>
      <c r="K18" s="6"/>
      <c r="L18" s="6"/>
      <c r="M18" s="6"/>
      <c r="N18" s="6"/>
    </row>
    <row r="19" spans="3:14" s="3" customFormat="1">
      <c r="C19" s="15" t="s">
        <v>5</v>
      </c>
      <c r="D19" s="36"/>
      <c r="E19" s="36"/>
      <c r="F19" s="36"/>
      <c r="G19" s="36"/>
      <c r="H19" s="18"/>
      <c r="I19" s="18"/>
      <c r="J19" s="18"/>
      <c r="K19" s="18"/>
      <c r="L19" s="18"/>
      <c r="M19" s="18"/>
    </row>
    <row r="20" spans="3:14" s="3" customFormat="1" ht="64.5" customHeight="1" thickBot="1">
      <c r="C20" s="57" t="s">
        <v>6</v>
      </c>
      <c r="D20" s="57"/>
      <c r="E20" s="57"/>
      <c r="F20" s="57"/>
      <c r="G20" s="57"/>
      <c r="H20" s="4"/>
      <c r="I20" s="4"/>
      <c r="J20" s="4"/>
      <c r="K20" s="4"/>
      <c r="L20" s="4"/>
      <c r="M20" s="4"/>
    </row>
    <row r="21" spans="3:14" s="3" customFormat="1" ht="22.8">
      <c r="C21" s="65" t="s">
        <v>12</v>
      </c>
      <c r="D21" s="66"/>
      <c r="E21" s="66"/>
      <c r="F21" s="66"/>
      <c r="G21" s="67"/>
      <c r="H21" s="4"/>
      <c r="I21" s="8"/>
      <c r="J21" s="8"/>
      <c r="K21" s="8"/>
      <c r="L21" s="8"/>
      <c r="M21" s="8"/>
    </row>
    <row r="22" spans="3:14" s="3" customFormat="1" ht="22.8">
      <c r="C22" s="29" t="s">
        <v>7</v>
      </c>
      <c r="D22" s="29" t="s">
        <v>8</v>
      </c>
      <c r="E22" s="29" t="s">
        <v>9</v>
      </c>
      <c r="F22" s="29" t="s">
        <v>10</v>
      </c>
      <c r="G22" s="29" t="s">
        <v>11</v>
      </c>
    </row>
    <row r="23" spans="3:14" s="3" customFormat="1" ht="36">
      <c r="C23" s="24">
        <v>1</v>
      </c>
      <c r="D23" s="25" t="s">
        <v>14</v>
      </c>
      <c r="E23" s="24">
        <v>3</v>
      </c>
      <c r="F23" s="26">
        <v>1590</v>
      </c>
      <c r="G23" s="26">
        <f>+F23*E23</f>
        <v>4770</v>
      </c>
    </row>
    <row r="24" spans="3:14" s="3" customFormat="1" ht="36">
      <c r="C24" s="24">
        <f>1+C23</f>
        <v>2</v>
      </c>
      <c r="D24" s="25" t="s">
        <v>15</v>
      </c>
      <c r="E24" s="24">
        <v>3</v>
      </c>
      <c r="F24" s="26">
        <v>1275</v>
      </c>
      <c r="G24" s="26">
        <f t="shared" ref="G24:G44" si="0">+F24*E24</f>
        <v>3825</v>
      </c>
    </row>
    <row r="25" spans="3:14" s="3" customFormat="1" ht="36">
      <c r="C25" s="24">
        <f t="shared" ref="C25:C44" si="1">1+C24</f>
        <v>3</v>
      </c>
      <c r="D25" s="25" t="s">
        <v>16</v>
      </c>
      <c r="E25" s="24">
        <v>3</v>
      </c>
      <c r="F25" s="26">
        <v>1050</v>
      </c>
      <c r="G25" s="26">
        <f t="shared" si="0"/>
        <v>3150</v>
      </c>
    </row>
    <row r="26" spans="3:14" s="3" customFormat="1" ht="36">
      <c r="C26" s="24">
        <f t="shared" si="1"/>
        <v>4</v>
      </c>
      <c r="D26" s="25" t="s">
        <v>17</v>
      </c>
      <c r="E26" s="24">
        <v>3</v>
      </c>
      <c r="F26" s="26">
        <v>550</v>
      </c>
      <c r="G26" s="26">
        <f t="shared" si="0"/>
        <v>1650</v>
      </c>
    </row>
    <row r="27" spans="3:14" s="3" customFormat="1" ht="18">
      <c r="C27" s="24">
        <f t="shared" si="1"/>
        <v>5</v>
      </c>
      <c r="D27" s="25" t="s">
        <v>18</v>
      </c>
      <c r="E27" s="24">
        <v>3</v>
      </c>
      <c r="F27" s="26">
        <v>460</v>
      </c>
      <c r="G27" s="26">
        <f t="shared" si="0"/>
        <v>1380</v>
      </c>
    </row>
    <row r="28" spans="3:14" s="3" customFormat="1" ht="18">
      <c r="C28" s="24"/>
      <c r="D28" s="25"/>
      <c r="E28" s="24"/>
      <c r="F28" s="26"/>
      <c r="G28" s="26"/>
    </row>
    <row r="29" spans="3:14" s="3" customFormat="1" ht="22.8">
      <c r="C29" s="59" t="s">
        <v>13</v>
      </c>
      <c r="D29" s="59"/>
      <c r="E29" s="59"/>
      <c r="F29" s="59"/>
      <c r="G29" s="59"/>
    </row>
    <row r="30" spans="3:14" s="3" customFormat="1" ht="52.5" customHeight="1">
      <c r="C30" s="24">
        <v>1</v>
      </c>
      <c r="D30" s="25" t="s">
        <v>19</v>
      </c>
      <c r="E30" s="24">
        <v>3</v>
      </c>
      <c r="F30" s="26">
        <v>2510</v>
      </c>
      <c r="G30" s="26">
        <f t="shared" si="0"/>
        <v>7530</v>
      </c>
    </row>
    <row r="31" spans="3:14" s="3" customFormat="1" ht="36">
      <c r="C31" s="24">
        <f t="shared" si="1"/>
        <v>2</v>
      </c>
      <c r="D31" s="25" t="s">
        <v>20</v>
      </c>
      <c r="E31" s="24">
        <v>3</v>
      </c>
      <c r="F31" s="26">
        <v>1020</v>
      </c>
      <c r="G31" s="26">
        <f t="shared" si="0"/>
        <v>3060</v>
      </c>
    </row>
    <row r="32" spans="3:14" s="3" customFormat="1" ht="36">
      <c r="C32" s="24">
        <f t="shared" si="1"/>
        <v>3</v>
      </c>
      <c r="D32" s="25" t="s">
        <v>21</v>
      </c>
      <c r="E32" s="24">
        <v>3</v>
      </c>
      <c r="F32" s="26">
        <v>385</v>
      </c>
      <c r="G32" s="26">
        <f t="shared" si="0"/>
        <v>1155</v>
      </c>
    </row>
    <row r="33" spans="3:7" s="3" customFormat="1" ht="18">
      <c r="C33" s="24">
        <f t="shared" si="1"/>
        <v>4</v>
      </c>
      <c r="D33" s="25" t="s">
        <v>22</v>
      </c>
      <c r="E33" s="24">
        <v>3</v>
      </c>
      <c r="F33" s="27">
        <v>482.5</v>
      </c>
      <c r="G33" s="26">
        <f t="shared" si="0"/>
        <v>1447.5</v>
      </c>
    </row>
    <row r="34" spans="3:7" s="3" customFormat="1" ht="18">
      <c r="C34" s="24"/>
      <c r="D34" s="25"/>
      <c r="E34" s="24"/>
      <c r="F34" s="27"/>
      <c r="G34" s="26"/>
    </row>
    <row r="35" spans="3:7" s="3" customFormat="1" ht="22.8">
      <c r="C35" s="59" t="s">
        <v>23</v>
      </c>
      <c r="D35" s="59"/>
      <c r="E35" s="59"/>
      <c r="F35" s="59"/>
      <c r="G35" s="59"/>
    </row>
    <row r="36" spans="3:7" s="3" customFormat="1" ht="36">
      <c r="C36" s="24">
        <v>1</v>
      </c>
      <c r="D36" s="25" t="s">
        <v>24</v>
      </c>
      <c r="E36" s="24">
        <v>3</v>
      </c>
      <c r="F36" s="26">
        <v>5660</v>
      </c>
      <c r="G36" s="26">
        <f t="shared" si="0"/>
        <v>16980</v>
      </c>
    </row>
    <row r="37" spans="3:7" s="3" customFormat="1" ht="36">
      <c r="C37" s="24">
        <f t="shared" si="1"/>
        <v>2</v>
      </c>
      <c r="D37" s="25" t="s">
        <v>46</v>
      </c>
      <c r="E37" s="24">
        <v>3</v>
      </c>
      <c r="F37" s="26">
        <v>2320</v>
      </c>
      <c r="G37" s="26">
        <f t="shared" si="0"/>
        <v>6960</v>
      </c>
    </row>
    <row r="38" spans="3:7" s="3" customFormat="1" ht="36">
      <c r="C38" s="24">
        <f t="shared" si="1"/>
        <v>3</v>
      </c>
      <c r="D38" s="25" t="s">
        <v>25</v>
      </c>
      <c r="E38" s="24">
        <v>3</v>
      </c>
      <c r="F38" s="26">
        <v>930</v>
      </c>
      <c r="G38" s="26">
        <f t="shared" si="0"/>
        <v>2790</v>
      </c>
    </row>
    <row r="39" spans="3:7" s="3" customFormat="1" ht="36">
      <c r="C39" s="24">
        <f t="shared" si="1"/>
        <v>4</v>
      </c>
      <c r="D39" s="25" t="s">
        <v>26</v>
      </c>
      <c r="E39" s="24">
        <v>3</v>
      </c>
      <c r="F39" s="26">
        <v>715</v>
      </c>
      <c r="G39" s="26">
        <f t="shared" si="0"/>
        <v>2145</v>
      </c>
    </row>
    <row r="40" spans="3:7" s="3" customFormat="1" ht="18">
      <c r="C40" s="24">
        <f t="shared" si="1"/>
        <v>5</v>
      </c>
      <c r="D40" s="24" t="s">
        <v>27</v>
      </c>
      <c r="E40" s="24">
        <v>3</v>
      </c>
      <c r="F40" s="26">
        <v>660</v>
      </c>
      <c r="G40" s="26">
        <f t="shared" si="0"/>
        <v>1980</v>
      </c>
    </row>
    <row r="41" spans="3:7" s="3" customFormat="1" ht="18">
      <c r="C41" s="24"/>
      <c r="D41" s="24"/>
      <c r="E41" s="24"/>
      <c r="F41" s="26"/>
      <c r="G41" s="26"/>
    </row>
    <row r="42" spans="3:7" s="3" customFormat="1" ht="22.8">
      <c r="C42" s="59" t="s">
        <v>28</v>
      </c>
      <c r="D42" s="59"/>
      <c r="E42" s="59"/>
      <c r="F42" s="59"/>
      <c r="G42" s="59"/>
    </row>
    <row r="43" spans="3:7" s="3" customFormat="1" ht="36">
      <c r="C43" s="24">
        <v>1</v>
      </c>
      <c r="D43" s="25" t="s">
        <v>29</v>
      </c>
      <c r="E43" s="24">
        <v>2</v>
      </c>
      <c r="F43" s="26">
        <v>1140</v>
      </c>
      <c r="G43" s="26">
        <f t="shared" si="0"/>
        <v>2280</v>
      </c>
    </row>
    <row r="44" spans="3:7" s="3" customFormat="1" ht="18">
      <c r="C44" s="24">
        <f t="shared" si="1"/>
        <v>2</v>
      </c>
      <c r="D44" s="25" t="s">
        <v>30</v>
      </c>
      <c r="E44" s="24">
        <v>1</v>
      </c>
      <c r="F44" s="26">
        <v>600</v>
      </c>
      <c r="G44" s="26">
        <f t="shared" si="0"/>
        <v>600</v>
      </c>
    </row>
    <row r="45" spans="3:7" s="3" customFormat="1" ht="22.8">
      <c r="C45" s="24"/>
      <c r="D45" s="24"/>
      <c r="E45" s="24"/>
      <c r="F45" s="30" t="s">
        <v>11</v>
      </c>
      <c r="G45" s="30">
        <f>SUM(G22:G44)</f>
        <v>61702.5</v>
      </c>
    </row>
    <row r="46" spans="3:7" s="3" customFormat="1" ht="22.8">
      <c r="C46" s="24"/>
      <c r="D46" s="24"/>
      <c r="E46" s="24"/>
      <c r="F46" s="31" t="s">
        <v>31</v>
      </c>
      <c r="G46" s="31">
        <f>+G45*9%</f>
        <v>5553.2249999999995</v>
      </c>
    </row>
    <row r="47" spans="3:7" s="3" customFormat="1" ht="22.8">
      <c r="C47" s="24"/>
      <c r="D47" s="24"/>
      <c r="E47" s="24"/>
      <c r="F47" s="31" t="s">
        <v>32</v>
      </c>
      <c r="G47" s="31">
        <f>+G45*9%</f>
        <v>5553.2249999999995</v>
      </c>
    </row>
    <row r="48" spans="3:7" s="3" customFormat="1" ht="22.8">
      <c r="C48" s="24"/>
      <c r="D48" s="24"/>
      <c r="E48" s="24"/>
      <c r="F48" s="32" t="s">
        <v>33</v>
      </c>
      <c r="G48" s="33">
        <f>SUM(G45:G47)</f>
        <v>72808.950000000012</v>
      </c>
    </row>
    <row r="49" spans="3:7" s="3" customFormat="1" ht="20.399999999999999">
      <c r="C49" s="34" t="s">
        <v>55</v>
      </c>
      <c r="D49" s="28"/>
      <c r="E49" s="24"/>
      <c r="F49" s="24"/>
      <c r="G49" s="24"/>
    </row>
    <row r="50" spans="3:7" s="3" customFormat="1" ht="18">
      <c r="C50" s="5"/>
      <c r="D50" s="5"/>
      <c r="E50" s="5"/>
      <c r="F50" s="5"/>
      <c r="G50" s="5"/>
    </row>
    <row r="51" spans="3:7">
      <c r="C51" s="19"/>
      <c r="D51" s="13"/>
      <c r="E51" s="13"/>
      <c r="F51" s="13"/>
      <c r="G51" s="13"/>
    </row>
    <row r="52" spans="3:7">
      <c r="C52" s="22" t="s">
        <v>44</v>
      </c>
      <c r="D52" s="22"/>
      <c r="E52" s="21"/>
      <c r="F52" s="13"/>
      <c r="G52" s="13"/>
    </row>
    <row r="53" spans="3:7">
      <c r="C53" s="49" t="s">
        <v>34</v>
      </c>
      <c r="D53" s="49"/>
      <c r="E53" s="13"/>
      <c r="F53" s="13"/>
      <c r="G53" s="13"/>
    </row>
    <row r="54" spans="3:7">
      <c r="C54" s="49" t="s">
        <v>35</v>
      </c>
      <c r="D54" s="49"/>
      <c r="E54" s="13"/>
      <c r="F54" s="13"/>
      <c r="G54" s="13"/>
    </row>
    <row r="55" spans="3:7">
      <c r="C55" s="49" t="s">
        <v>45</v>
      </c>
      <c r="D55" s="49"/>
      <c r="E55" s="13"/>
      <c r="F55" s="13"/>
      <c r="G55" s="13"/>
    </row>
    <row r="56" spans="3:7">
      <c r="C56" s="49" t="s">
        <v>36</v>
      </c>
      <c r="D56" s="49"/>
      <c r="E56" s="13"/>
      <c r="F56" s="13"/>
      <c r="G56" s="13"/>
    </row>
    <row r="57" spans="3:7">
      <c r="C57" s="21" t="s">
        <v>37</v>
      </c>
      <c r="D57" s="21"/>
    </row>
    <row r="58" spans="3:7">
      <c r="C58" s="49" t="s">
        <v>38</v>
      </c>
      <c r="D58" s="49"/>
    </row>
    <row r="59" spans="3:7">
      <c r="C59" s="21" t="s">
        <v>39</v>
      </c>
      <c r="D59" s="21"/>
    </row>
    <row r="60" spans="3:7">
      <c r="C60" s="48" t="s">
        <v>40</v>
      </c>
      <c r="D60" s="48"/>
    </row>
    <row r="61" spans="3:7">
      <c r="C61" s="48" t="s">
        <v>41</v>
      </c>
      <c r="D61" s="48"/>
    </row>
    <row r="62" spans="3:7">
      <c r="C62" s="49" t="s">
        <v>42</v>
      </c>
      <c r="D62" s="49"/>
    </row>
    <row r="63" spans="3:7">
      <c r="C63" s="22"/>
      <c r="D63" s="22"/>
    </row>
    <row r="64" spans="3:7">
      <c r="C64" s="22"/>
      <c r="D64" s="22"/>
    </row>
    <row r="65" spans="3:4">
      <c r="C65" s="22"/>
      <c r="D65" s="22"/>
    </row>
    <row r="66" spans="3:4">
      <c r="C66" s="11" t="s">
        <v>43</v>
      </c>
      <c r="D66" s="23"/>
    </row>
    <row r="67" spans="3:4">
      <c r="C67" s="20"/>
    </row>
  </sheetData>
  <mergeCells count="23">
    <mergeCell ref="C53:D53"/>
    <mergeCell ref="C1:G1"/>
    <mergeCell ref="C10:D10"/>
    <mergeCell ref="C12:D12"/>
    <mergeCell ref="C21:G21"/>
    <mergeCell ref="C13:D13"/>
    <mergeCell ref="C5:D5"/>
    <mergeCell ref="C60:D60"/>
    <mergeCell ref="C61:D61"/>
    <mergeCell ref="C62:D62"/>
    <mergeCell ref="C2:G2"/>
    <mergeCell ref="C3:G3"/>
    <mergeCell ref="C17:G17"/>
    <mergeCell ref="C20:G20"/>
    <mergeCell ref="C8:D8"/>
    <mergeCell ref="C9:D9"/>
    <mergeCell ref="C54:D54"/>
    <mergeCell ref="C55:D55"/>
    <mergeCell ref="C56:D56"/>
    <mergeCell ref="C58:D58"/>
    <mergeCell ref="C29:G29"/>
    <mergeCell ref="C35:G35"/>
    <mergeCell ref="C42:G42"/>
  </mergeCells>
  <printOptions horizontalCentered="1"/>
  <pageMargins left="0.70866141732283472" right="0.70866141732283472" top="1.1417322834645669" bottom="0.74803149606299213" header="0.31496062992125984" footer="0.31496062992125984"/>
  <pageSetup paperSize="9" scale="56" orientation="portrait" r:id="rId1"/>
  <rowBreaks count="1" manualBreakCount="1">
    <brk id="40" min="1"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0"/>
  <sheetViews>
    <sheetView tabSelected="1" topLeftCell="A43" zoomScale="70" zoomScaleNormal="70" workbookViewId="0">
      <selection activeCell="C7" sqref="C7"/>
    </sheetView>
  </sheetViews>
  <sheetFormatPr defaultColWidth="9.109375" defaultRowHeight="21"/>
  <cols>
    <col min="1" max="2" width="9.109375" style="2"/>
    <col min="3" max="3" width="21.6640625" style="2" customWidth="1"/>
    <col min="4" max="4" width="52.6640625" style="10" customWidth="1"/>
    <col min="5" max="5" width="12.6640625" style="2" customWidth="1"/>
    <col min="6" max="6" width="30.88671875" style="2" customWidth="1"/>
    <col min="7" max="7" width="28" style="2" customWidth="1"/>
    <col min="8" max="8" width="12.109375" style="2" customWidth="1"/>
    <col min="9" max="9" width="9.109375" style="2" customWidth="1"/>
    <col min="10" max="16384" width="9.109375" style="2"/>
  </cols>
  <sheetData>
    <row r="1" spans="1:16" ht="43.5" customHeight="1" thickBot="1">
      <c r="A1" s="1"/>
      <c r="C1" s="60" t="s">
        <v>0</v>
      </c>
      <c r="D1" s="61"/>
      <c r="E1" s="61"/>
      <c r="F1" s="61"/>
      <c r="G1" s="62"/>
      <c r="H1" s="7"/>
      <c r="I1" s="7"/>
      <c r="J1" s="12"/>
      <c r="K1" s="12"/>
      <c r="L1" s="12"/>
      <c r="M1" s="12"/>
      <c r="N1" s="1"/>
      <c r="O1" s="1"/>
      <c r="P1" s="1"/>
    </row>
    <row r="2" spans="1:16" ht="43.5" customHeight="1" thickBot="1">
      <c r="A2" s="1"/>
      <c r="C2" s="50" t="s">
        <v>4</v>
      </c>
      <c r="D2" s="51"/>
      <c r="E2" s="51"/>
      <c r="F2" s="51"/>
      <c r="G2" s="52"/>
      <c r="H2" s="16"/>
      <c r="I2" s="16"/>
      <c r="J2" s="14"/>
      <c r="K2" s="14"/>
      <c r="L2" s="14"/>
      <c r="M2" s="1"/>
      <c r="N2" s="1"/>
      <c r="O2" s="1"/>
      <c r="P2" s="1"/>
    </row>
    <row r="3" spans="1:16" ht="21.6" thickBot="1">
      <c r="C3" s="53" t="s">
        <v>1</v>
      </c>
      <c r="D3" s="54"/>
      <c r="E3" s="54"/>
      <c r="F3" s="54"/>
      <c r="G3" s="55"/>
      <c r="H3" s="17"/>
      <c r="I3" s="17"/>
    </row>
    <row r="4" spans="1:16" ht="21.6" thickBot="1">
      <c r="C4" s="23"/>
      <c r="D4" s="23"/>
      <c r="E4" s="23"/>
      <c r="F4" s="23"/>
      <c r="G4" s="23"/>
    </row>
    <row r="5" spans="1:16" s="3" customFormat="1" ht="18.600000000000001" thickBot="1">
      <c r="C5" s="68" t="s">
        <v>63</v>
      </c>
      <c r="D5" s="69"/>
      <c r="E5" s="39"/>
      <c r="F5" s="35"/>
      <c r="G5" s="38" t="s">
        <v>62</v>
      </c>
    </row>
    <row r="6" spans="1:16" s="3" customFormat="1" ht="18.600000000000001" thickBot="1">
      <c r="C6" s="35"/>
      <c r="D6" s="40"/>
      <c r="E6" s="40"/>
      <c r="F6" s="35"/>
      <c r="G6" s="35"/>
    </row>
    <row r="7" spans="1:16" s="3" customFormat="1" ht="25.2" thickBot="1">
      <c r="C7" s="35"/>
      <c r="D7" s="40"/>
      <c r="E7" s="40"/>
      <c r="F7" s="35"/>
      <c r="G7" s="47" t="s">
        <v>64</v>
      </c>
    </row>
    <row r="8" spans="1:16" s="3" customFormat="1" ht="18">
      <c r="C8" s="35"/>
      <c r="D8" s="40"/>
      <c r="E8" s="40"/>
      <c r="F8" s="35"/>
      <c r="G8"/>
    </row>
    <row r="9" spans="1:16" s="3" customFormat="1" ht="18">
      <c r="C9" s="35"/>
      <c r="D9" s="40"/>
      <c r="E9" s="40"/>
      <c r="F9" s="35"/>
      <c r="G9"/>
    </row>
    <row r="10" spans="1:16" s="3" customFormat="1" ht="18">
      <c r="C10" s="35"/>
      <c r="D10" s="40"/>
      <c r="E10" s="40"/>
      <c r="F10" s="35"/>
      <c r="G10"/>
    </row>
    <row r="11" spans="1:16" s="3" customFormat="1" ht="18">
      <c r="C11" s="35"/>
      <c r="D11" s="40"/>
      <c r="E11" s="40"/>
      <c r="F11" s="35"/>
      <c r="G11"/>
    </row>
    <row r="12" spans="1:16" s="3" customFormat="1" ht="18">
      <c r="C12" s="35"/>
      <c r="D12" s="40"/>
      <c r="E12" s="40"/>
      <c r="F12" s="35"/>
      <c r="G12"/>
    </row>
    <row r="13" spans="1:16" s="3" customFormat="1" ht="18">
      <c r="C13" s="35"/>
      <c r="D13" s="40"/>
      <c r="E13" s="40"/>
      <c r="F13" s="35"/>
      <c r="G13"/>
    </row>
    <row r="14" spans="1:16" s="3" customFormat="1" ht="18">
      <c r="C14" s="35"/>
      <c r="D14" s="40"/>
      <c r="E14" s="40"/>
      <c r="F14" s="35"/>
      <c r="G14"/>
    </row>
    <row r="15" spans="1:16" s="3" customFormat="1" ht="18">
      <c r="C15" s="35"/>
      <c r="D15" s="40"/>
      <c r="E15" s="40"/>
      <c r="F15" s="35"/>
      <c r="G15"/>
    </row>
    <row r="16" spans="1:16" s="3" customFormat="1" ht="18">
      <c r="C16" s="35"/>
      <c r="D16" s="40"/>
      <c r="E16" s="40"/>
      <c r="F16" s="35"/>
      <c r="G16"/>
    </row>
    <row r="17" spans="3:21" s="3" customFormat="1" ht="18">
      <c r="C17" s="35"/>
      <c r="D17" s="40"/>
      <c r="E17" s="40"/>
      <c r="F17" s="35"/>
      <c r="G17"/>
    </row>
    <row r="18" spans="3:21" s="3" customFormat="1" ht="18">
      <c r="C18" s="58" t="s">
        <v>2</v>
      </c>
      <c r="D18" s="58"/>
      <c r="E18" s="35"/>
      <c r="F18" s="35"/>
      <c r="G18" s="35"/>
    </row>
    <row r="19" spans="3:21" s="3" customFormat="1" ht="18">
      <c r="C19" s="58" t="s">
        <v>3</v>
      </c>
      <c r="D19" s="58"/>
      <c r="E19" s="35"/>
      <c r="F19" s="35"/>
      <c r="G19" s="35"/>
      <c r="I19" s="70" t="s">
        <v>65</v>
      </c>
      <c r="J19" s="70"/>
      <c r="K19" s="70"/>
      <c r="L19" s="70"/>
      <c r="M19" s="70"/>
      <c r="N19" s="70"/>
      <c r="O19" s="70"/>
      <c r="P19" s="70"/>
      <c r="Q19" s="71"/>
      <c r="R19" s="72" t="s">
        <v>66</v>
      </c>
      <c r="S19" s="70"/>
      <c r="T19" s="70"/>
      <c r="U19" s="70"/>
    </row>
    <row r="20" spans="3:21" s="3" customFormat="1" ht="18">
      <c r="C20" s="58" t="s">
        <v>49</v>
      </c>
      <c r="D20" s="58"/>
      <c r="E20" s="35"/>
      <c r="F20" s="35"/>
      <c r="G20" s="35"/>
      <c r="I20" s="73" t="s">
        <v>67</v>
      </c>
      <c r="J20" s="73"/>
      <c r="K20" s="74"/>
      <c r="L20" s="75" t="s">
        <v>68</v>
      </c>
      <c r="M20" s="76"/>
      <c r="N20" s="76"/>
      <c r="O20" s="77"/>
      <c r="P20" s="78" t="s">
        <v>69</v>
      </c>
      <c r="Q20" s="73"/>
      <c r="R20" s="73"/>
      <c r="S20" s="74"/>
      <c r="T20" s="75" t="s">
        <v>70</v>
      </c>
      <c r="U20" s="76"/>
    </row>
    <row r="21" spans="3:21" s="3" customFormat="1" ht="18">
      <c r="C21" s="44" t="s">
        <v>50</v>
      </c>
      <c r="D21" s="44"/>
      <c r="E21" s="9"/>
      <c r="F21" s="9"/>
      <c r="G21" s="35"/>
      <c r="I21" s="73" t="s">
        <v>71</v>
      </c>
      <c r="J21" s="73"/>
      <c r="K21" s="74"/>
      <c r="L21" s="75" t="s">
        <v>72</v>
      </c>
      <c r="M21" s="76"/>
      <c r="N21" s="76"/>
      <c r="O21" s="77"/>
      <c r="P21" s="78" t="s">
        <v>73</v>
      </c>
      <c r="Q21" s="73"/>
      <c r="R21" s="73"/>
      <c r="S21" s="74"/>
      <c r="T21" s="75" t="s">
        <v>74</v>
      </c>
      <c r="U21" s="76"/>
    </row>
    <row r="22" spans="3:21" s="3" customFormat="1" ht="74.25" customHeight="1">
      <c r="C22" s="63" t="s">
        <v>51</v>
      </c>
      <c r="D22" s="64"/>
      <c r="E22" s="35"/>
      <c r="F22" s="35"/>
      <c r="G22" s="35"/>
      <c r="I22" s="73" t="s">
        <v>75</v>
      </c>
      <c r="J22" s="73"/>
      <c r="K22" s="74"/>
      <c r="L22" s="75" t="s">
        <v>76</v>
      </c>
      <c r="M22" s="76"/>
      <c r="N22" s="76"/>
      <c r="O22" s="77"/>
      <c r="P22" s="78" t="s">
        <v>77</v>
      </c>
      <c r="Q22" s="73"/>
      <c r="R22" s="73"/>
      <c r="S22" s="74"/>
      <c r="T22" s="75" t="s">
        <v>74</v>
      </c>
      <c r="U22" s="76"/>
    </row>
    <row r="23" spans="3:21" s="3" customFormat="1" ht="18">
      <c r="C23" s="58" t="s">
        <v>52</v>
      </c>
      <c r="D23" s="58"/>
      <c r="E23" s="9"/>
      <c r="F23" s="35"/>
      <c r="G23" s="35"/>
      <c r="I23" s="73" t="s">
        <v>78</v>
      </c>
      <c r="J23" s="73"/>
      <c r="K23" s="74"/>
      <c r="L23" s="75" t="s">
        <v>79</v>
      </c>
      <c r="M23" s="76"/>
      <c r="N23" s="76"/>
      <c r="O23" s="77"/>
      <c r="P23" s="78" t="s">
        <v>80</v>
      </c>
      <c r="Q23" s="73"/>
      <c r="R23" s="73"/>
      <c r="S23" s="74"/>
      <c r="T23" s="75" t="s">
        <v>81</v>
      </c>
      <c r="U23" s="76"/>
    </row>
    <row r="24" spans="3:21" s="3" customFormat="1" ht="18">
      <c r="C24" s="44" t="s">
        <v>53</v>
      </c>
      <c r="D24" s="44"/>
      <c r="E24" s="9"/>
      <c r="F24" s="35"/>
      <c r="G24" s="35"/>
      <c r="I24" s="73" t="s">
        <v>82</v>
      </c>
      <c r="J24" s="73"/>
      <c r="K24" s="74"/>
      <c r="L24" s="75" t="s">
        <v>83</v>
      </c>
      <c r="M24" s="76"/>
      <c r="N24" s="76"/>
      <c r="O24" s="77"/>
      <c r="P24" s="78" t="s">
        <v>84</v>
      </c>
      <c r="Q24" s="73"/>
      <c r="R24" s="73"/>
      <c r="S24" s="74"/>
      <c r="T24" s="79">
        <v>7350840980</v>
      </c>
      <c r="U24" s="80"/>
    </row>
    <row r="25" spans="3:21" s="3" customFormat="1" ht="18">
      <c r="C25" s="44" t="s">
        <v>54</v>
      </c>
      <c r="D25" s="44"/>
      <c r="E25" s="9"/>
      <c r="F25" s="35"/>
      <c r="G25" s="35"/>
      <c r="I25" s="73" t="s">
        <v>85</v>
      </c>
      <c r="J25" s="73"/>
      <c r="K25" s="74"/>
      <c r="L25" s="75" t="s">
        <v>86</v>
      </c>
      <c r="M25" s="76"/>
      <c r="N25" s="76"/>
      <c r="O25" s="77"/>
      <c r="P25" s="78" t="s">
        <v>87</v>
      </c>
      <c r="Q25" s="73"/>
      <c r="R25" s="73"/>
      <c r="S25" s="74"/>
      <c r="T25" s="75" t="s">
        <v>88</v>
      </c>
      <c r="U25" s="76"/>
    </row>
    <row r="26" spans="3:21" s="3" customFormat="1" ht="18">
      <c r="C26" s="41"/>
      <c r="D26" s="41"/>
      <c r="E26" s="9"/>
      <c r="F26" s="35"/>
      <c r="G26" s="35"/>
    </row>
    <row r="27" spans="3:21" s="3" customFormat="1" ht="42" customHeight="1">
      <c r="C27" s="56" t="s">
        <v>56</v>
      </c>
      <c r="D27" s="56"/>
      <c r="E27" s="56"/>
      <c r="F27" s="56"/>
      <c r="G27" s="56"/>
      <c r="H27" s="6"/>
      <c r="I27" s="6"/>
      <c r="J27" s="6"/>
      <c r="K27" s="6"/>
      <c r="L27" s="6"/>
      <c r="M27" s="6"/>
      <c r="N27" s="6"/>
    </row>
    <row r="28" spans="3:21" s="3" customFormat="1" ht="21.75" customHeight="1">
      <c r="C28" s="46"/>
      <c r="D28" s="46"/>
      <c r="E28" s="46"/>
      <c r="F28" s="46"/>
      <c r="G28" s="46"/>
      <c r="H28" s="6"/>
      <c r="I28" s="6"/>
      <c r="J28" s="6"/>
      <c r="K28" s="6"/>
      <c r="L28" s="6"/>
      <c r="M28" s="6"/>
      <c r="N28" s="6"/>
    </row>
    <row r="29" spans="3:21" s="3" customFormat="1">
      <c r="C29" s="15" t="s">
        <v>5</v>
      </c>
      <c r="D29" s="36"/>
      <c r="E29" s="36"/>
      <c r="F29" s="36"/>
      <c r="G29" s="36"/>
      <c r="H29" s="18"/>
      <c r="I29" s="18"/>
      <c r="J29" s="18"/>
      <c r="K29" s="18"/>
      <c r="L29" s="18"/>
      <c r="M29" s="18"/>
    </row>
    <row r="30" spans="3:21" s="3" customFormat="1" ht="64.5" customHeight="1" thickBot="1">
      <c r="C30" s="57" t="s">
        <v>6</v>
      </c>
      <c r="D30" s="57"/>
      <c r="E30" s="57"/>
      <c r="F30" s="57"/>
      <c r="G30" s="57"/>
      <c r="H30" s="4"/>
      <c r="I30" s="4"/>
      <c r="J30" s="4"/>
      <c r="K30" s="4"/>
      <c r="L30" s="4"/>
      <c r="M30" s="4"/>
    </row>
    <row r="31" spans="3:21" s="3" customFormat="1" ht="22.8">
      <c r="C31" s="65" t="s">
        <v>12</v>
      </c>
      <c r="D31" s="66"/>
      <c r="E31" s="66"/>
      <c r="F31" s="66"/>
      <c r="G31" s="67"/>
      <c r="H31" s="4"/>
      <c r="I31" s="8"/>
      <c r="J31" s="8"/>
      <c r="K31" s="8"/>
      <c r="L31" s="8"/>
      <c r="M31" s="8"/>
    </row>
    <row r="32" spans="3:21" s="3" customFormat="1" ht="22.8">
      <c r="C32" s="29" t="s">
        <v>7</v>
      </c>
      <c r="D32" s="29" t="s">
        <v>8</v>
      </c>
      <c r="E32" s="29" t="s">
        <v>9</v>
      </c>
      <c r="F32" s="29" t="s">
        <v>10</v>
      </c>
      <c r="G32" s="29" t="s">
        <v>11</v>
      </c>
    </row>
    <row r="33" spans="3:7" s="3" customFormat="1" ht="36">
      <c r="C33" s="24">
        <v>1</v>
      </c>
      <c r="D33" s="25" t="s">
        <v>14</v>
      </c>
      <c r="E33" s="24">
        <v>1555</v>
      </c>
      <c r="F33" s="26">
        <v>1590</v>
      </c>
      <c r="G33" s="26">
        <f>+F33*E33</f>
        <v>2472450</v>
      </c>
    </row>
    <row r="34" spans="3:7" s="3" customFormat="1" ht="36">
      <c r="C34" s="24">
        <f>1+C33</f>
        <v>2</v>
      </c>
      <c r="D34" s="25" t="s">
        <v>15</v>
      </c>
      <c r="E34" s="24">
        <v>1555</v>
      </c>
      <c r="F34" s="26">
        <v>1275</v>
      </c>
      <c r="G34" s="26">
        <f t="shared" ref="G34:G54" si="0">+F34*E34</f>
        <v>1982625</v>
      </c>
    </row>
    <row r="35" spans="3:7" s="3" customFormat="1" ht="36">
      <c r="C35" s="24">
        <f t="shared" ref="C35:C54" si="1">1+C34</f>
        <v>3</v>
      </c>
      <c r="D35" s="25" t="s">
        <v>16</v>
      </c>
      <c r="E35" s="24">
        <v>1555</v>
      </c>
      <c r="F35" s="26">
        <v>1050</v>
      </c>
      <c r="G35" s="26">
        <f t="shared" si="0"/>
        <v>1632750</v>
      </c>
    </row>
    <row r="36" spans="3:7" s="3" customFormat="1" ht="36">
      <c r="C36" s="24">
        <f t="shared" si="1"/>
        <v>4</v>
      </c>
      <c r="D36" s="25" t="s">
        <v>17</v>
      </c>
      <c r="E36" s="24">
        <v>1555</v>
      </c>
      <c r="F36" s="26">
        <v>550</v>
      </c>
      <c r="G36" s="26">
        <f t="shared" si="0"/>
        <v>855250</v>
      </c>
    </row>
    <row r="37" spans="3:7" s="3" customFormat="1" ht="18">
      <c r="C37" s="24">
        <f t="shared" si="1"/>
        <v>5</v>
      </c>
      <c r="D37" s="25" t="s">
        <v>18</v>
      </c>
      <c r="E37" s="24">
        <v>1555</v>
      </c>
      <c r="F37" s="26">
        <v>460</v>
      </c>
      <c r="G37" s="26">
        <f t="shared" si="0"/>
        <v>715300</v>
      </c>
    </row>
    <row r="38" spans="3:7" s="3" customFormat="1" ht="18">
      <c r="C38" s="24"/>
      <c r="D38" s="25"/>
      <c r="E38" s="24"/>
      <c r="F38" s="26"/>
      <c r="G38" s="26"/>
    </row>
    <row r="39" spans="3:7" s="3" customFormat="1" ht="22.8">
      <c r="C39" s="59" t="s">
        <v>13</v>
      </c>
      <c r="D39" s="59"/>
      <c r="E39" s="59"/>
      <c r="F39" s="59"/>
      <c r="G39" s="59"/>
    </row>
    <row r="40" spans="3:7" s="3" customFormat="1" ht="52.5" customHeight="1">
      <c r="C40" s="24">
        <v>1</v>
      </c>
      <c r="D40" s="25" t="s">
        <v>19</v>
      </c>
      <c r="E40" s="24">
        <v>1555</v>
      </c>
      <c r="F40" s="26">
        <v>2510</v>
      </c>
      <c r="G40" s="26">
        <f t="shared" si="0"/>
        <v>3903050</v>
      </c>
    </row>
    <row r="41" spans="3:7" s="3" customFormat="1" ht="36">
      <c r="C41" s="24">
        <f t="shared" si="1"/>
        <v>2</v>
      </c>
      <c r="D41" s="25" t="s">
        <v>20</v>
      </c>
      <c r="E41" s="24">
        <v>1555</v>
      </c>
      <c r="F41" s="26">
        <v>1020</v>
      </c>
      <c r="G41" s="26">
        <f t="shared" si="0"/>
        <v>1586100</v>
      </c>
    </row>
    <row r="42" spans="3:7" s="3" customFormat="1" ht="36">
      <c r="C42" s="24">
        <f t="shared" si="1"/>
        <v>3</v>
      </c>
      <c r="D42" s="25" t="s">
        <v>21</v>
      </c>
      <c r="E42" s="24">
        <v>1555</v>
      </c>
      <c r="F42" s="26">
        <v>385</v>
      </c>
      <c r="G42" s="26">
        <f t="shared" si="0"/>
        <v>598675</v>
      </c>
    </row>
    <row r="43" spans="3:7" s="3" customFormat="1" ht="18">
      <c r="C43" s="24"/>
      <c r="D43" s="25"/>
      <c r="E43" s="24"/>
      <c r="F43" s="27"/>
      <c r="G43" s="26"/>
    </row>
    <row r="44" spans="3:7" s="3" customFormat="1" ht="18">
      <c r="C44" s="24"/>
      <c r="D44" s="25"/>
      <c r="E44" s="24"/>
      <c r="F44" s="27"/>
      <c r="G44" s="26"/>
    </row>
    <row r="45" spans="3:7" s="3" customFormat="1" ht="22.8">
      <c r="C45" s="59" t="s">
        <v>23</v>
      </c>
      <c r="D45" s="59"/>
      <c r="E45" s="59"/>
      <c r="F45" s="59"/>
      <c r="G45" s="59"/>
    </row>
    <row r="46" spans="3:7" s="3" customFormat="1" ht="36">
      <c r="C46" s="24">
        <v>1</v>
      </c>
      <c r="D46" s="25" t="s">
        <v>24</v>
      </c>
      <c r="E46" s="24">
        <v>1555</v>
      </c>
      <c r="F46" s="26">
        <v>5660</v>
      </c>
      <c r="G46" s="26">
        <f t="shared" si="0"/>
        <v>8801300</v>
      </c>
    </row>
    <row r="47" spans="3:7" s="3" customFormat="1" ht="36">
      <c r="C47" s="24">
        <f t="shared" si="1"/>
        <v>2</v>
      </c>
      <c r="D47" s="25" t="s">
        <v>46</v>
      </c>
      <c r="E47" s="24">
        <v>1555</v>
      </c>
      <c r="F47" s="26">
        <v>2320</v>
      </c>
      <c r="G47" s="26">
        <f t="shared" si="0"/>
        <v>3607600</v>
      </c>
    </row>
    <row r="48" spans="3:7" s="3" customFormat="1" ht="36">
      <c r="C48" s="24">
        <f t="shared" si="1"/>
        <v>3</v>
      </c>
      <c r="D48" s="25" t="s">
        <v>25</v>
      </c>
      <c r="E48" s="24">
        <v>1555</v>
      </c>
      <c r="F48" s="26">
        <v>930</v>
      </c>
      <c r="G48" s="26">
        <f t="shared" si="0"/>
        <v>1446150</v>
      </c>
    </row>
    <row r="49" spans="3:7" s="3" customFormat="1" ht="36">
      <c r="C49" s="24">
        <f t="shared" si="1"/>
        <v>4</v>
      </c>
      <c r="D49" s="25" t="s">
        <v>26</v>
      </c>
      <c r="E49" s="24">
        <v>1555</v>
      </c>
      <c r="F49" s="26">
        <v>715</v>
      </c>
      <c r="G49" s="26">
        <f t="shared" si="0"/>
        <v>1111825</v>
      </c>
    </row>
    <row r="50" spans="3:7" s="3" customFormat="1" ht="18">
      <c r="C50" s="24"/>
      <c r="D50" s="24"/>
      <c r="E50" s="24"/>
      <c r="F50" s="26"/>
      <c r="G50" s="26"/>
    </row>
    <row r="51" spans="3:7" s="3" customFormat="1" ht="18">
      <c r="C51" s="24"/>
      <c r="D51" s="24"/>
      <c r="E51" s="24"/>
      <c r="F51" s="26"/>
      <c r="G51" s="26"/>
    </row>
    <row r="52" spans="3:7" s="3" customFormat="1" ht="22.8">
      <c r="C52" s="59" t="s">
        <v>28</v>
      </c>
      <c r="D52" s="59"/>
      <c r="E52" s="59"/>
      <c r="F52" s="59"/>
      <c r="G52" s="59"/>
    </row>
    <row r="53" spans="3:7" s="3" customFormat="1" ht="36">
      <c r="C53" s="24">
        <v>1</v>
      </c>
      <c r="D53" s="25" t="s">
        <v>29</v>
      </c>
      <c r="E53" s="24">
        <v>1218</v>
      </c>
      <c r="F53" s="26">
        <v>1140</v>
      </c>
      <c r="G53" s="26">
        <f t="shared" si="0"/>
        <v>1388520</v>
      </c>
    </row>
    <row r="54" spans="3:7" s="3" customFormat="1" ht="18">
      <c r="C54" s="24">
        <f t="shared" si="1"/>
        <v>2</v>
      </c>
      <c r="D54" s="25" t="s">
        <v>30</v>
      </c>
      <c r="E54" s="24">
        <v>609</v>
      </c>
      <c r="F54" s="26">
        <v>600</v>
      </c>
      <c r="G54" s="26">
        <f t="shared" si="0"/>
        <v>365400</v>
      </c>
    </row>
    <row r="55" spans="3:7" s="3" customFormat="1" ht="22.8">
      <c r="C55" s="24"/>
      <c r="D55" s="24"/>
      <c r="E55" s="24"/>
      <c r="F55" s="30" t="s">
        <v>11</v>
      </c>
      <c r="G55" s="30">
        <f>SUM(G32:G54)</f>
        <v>30466995</v>
      </c>
    </row>
    <row r="56" spans="3:7" s="3" customFormat="1" ht="22.8">
      <c r="C56" s="24"/>
      <c r="D56" s="24"/>
      <c r="E56" s="24"/>
      <c r="F56" s="31" t="s">
        <v>31</v>
      </c>
      <c r="G56" s="31">
        <f>+G55*9%</f>
        <v>2742029.55</v>
      </c>
    </row>
    <row r="57" spans="3:7" s="3" customFormat="1" ht="22.8">
      <c r="C57" s="24"/>
      <c r="D57" s="24"/>
      <c r="E57" s="24"/>
      <c r="F57" s="31" t="s">
        <v>32</v>
      </c>
      <c r="G57" s="31">
        <f>+G55*9%</f>
        <v>2742029.55</v>
      </c>
    </row>
    <row r="58" spans="3:7" s="3" customFormat="1" ht="22.8">
      <c r="C58" s="24"/>
      <c r="D58" s="24"/>
      <c r="E58" s="24"/>
      <c r="F58" s="32" t="s">
        <v>33</v>
      </c>
      <c r="G58" s="33">
        <f>SUM(G55:G57)</f>
        <v>35951054.100000001</v>
      </c>
    </row>
    <row r="59" spans="3:7" s="3" customFormat="1" ht="20.399999999999999">
      <c r="C59" s="34" t="s">
        <v>58</v>
      </c>
      <c r="D59" s="28"/>
      <c r="E59" s="24"/>
      <c r="F59" s="24"/>
      <c r="G59" s="24"/>
    </row>
    <row r="60" spans="3:7" s="3" customFormat="1" ht="18">
      <c r="C60" s="5"/>
      <c r="D60" s="5"/>
      <c r="E60" s="5"/>
      <c r="F60" s="5"/>
      <c r="G60" s="5"/>
    </row>
    <row r="61" spans="3:7">
      <c r="C61" s="19"/>
      <c r="D61" s="13"/>
      <c r="E61" s="13"/>
      <c r="F61" s="13"/>
      <c r="G61" s="13"/>
    </row>
    <row r="62" spans="3:7">
      <c r="C62" s="43" t="s">
        <v>44</v>
      </c>
      <c r="D62" s="43"/>
      <c r="E62" s="21"/>
      <c r="F62" s="13"/>
      <c r="G62" s="13"/>
    </row>
    <row r="63" spans="3:7">
      <c r="C63" s="49" t="s">
        <v>34</v>
      </c>
      <c r="D63" s="49"/>
      <c r="E63" s="13"/>
      <c r="F63" s="13"/>
      <c r="G63" s="13"/>
    </row>
    <row r="64" spans="3:7">
      <c r="C64" s="49" t="s">
        <v>35</v>
      </c>
      <c r="D64" s="49"/>
      <c r="E64" s="13"/>
      <c r="F64" s="13"/>
      <c r="G64" s="13"/>
    </row>
    <row r="65" spans="3:7">
      <c r="C65" s="49" t="s">
        <v>45</v>
      </c>
      <c r="D65" s="49"/>
      <c r="E65" s="13"/>
      <c r="F65" s="13"/>
      <c r="G65" s="13"/>
    </row>
    <row r="66" spans="3:7">
      <c r="C66" s="49" t="s">
        <v>36</v>
      </c>
      <c r="D66" s="49"/>
      <c r="E66" s="13"/>
      <c r="F66" s="13"/>
      <c r="G66" s="13"/>
    </row>
    <row r="67" spans="3:7">
      <c r="C67" s="21" t="s">
        <v>37</v>
      </c>
      <c r="D67" s="21"/>
    </row>
    <row r="68" spans="3:7">
      <c r="C68" s="49" t="s">
        <v>38</v>
      </c>
      <c r="D68" s="49"/>
    </row>
    <row r="69" spans="3:7">
      <c r="C69" s="21" t="s">
        <v>39</v>
      </c>
      <c r="D69" s="21"/>
    </row>
    <row r="70" spans="3:7">
      <c r="C70" s="21" t="s">
        <v>60</v>
      </c>
      <c r="D70" s="21"/>
    </row>
    <row r="71" spans="3:7">
      <c r="C71" s="21"/>
      <c r="D71" s="21"/>
    </row>
    <row r="72" spans="3:7">
      <c r="C72" s="48" t="s">
        <v>40</v>
      </c>
      <c r="D72" s="48"/>
    </row>
    <row r="73" spans="3:7">
      <c r="C73" s="48" t="s">
        <v>59</v>
      </c>
      <c r="D73" s="48"/>
    </row>
    <row r="74" spans="3:7">
      <c r="C74" s="48" t="s">
        <v>41</v>
      </c>
      <c r="D74" s="48"/>
    </row>
    <row r="75" spans="3:7">
      <c r="C75" s="49" t="s">
        <v>61</v>
      </c>
      <c r="D75" s="49"/>
    </row>
    <row r="76" spans="3:7">
      <c r="C76" s="43"/>
      <c r="D76" s="43"/>
    </row>
    <row r="77" spans="3:7">
      <c r="C77" s="43"/>
      <c r="D77" s="43"/>
    </row>
    <row r="78" spans="3:7">
      <c r="C78" s="43"/>
      <c r="D78" s="43"/>
    </row>
    <row r="79" spans="3:7">
      <c r="C79" s="45" t="s">
        <v>43</v>
      </c>
      <c r="D79" s="23"/>
    </row>
    <row r="80" spans="3:7">
      <c r="C80" s="20"/>
    </row>
  </sheetData>
  <mergeCells count="50">
    <mergeCell ref="I25:K25"/>
    <mergeCell ref="L25:O25"/>
    <mergeCell ref="P25:S25"/>
    <mergeCell ref="T25:U25"/>
    <mergeCell ref="I23:K23"/>
    <mergeCell ref="L23:O23"/>
    <mergeCell ref="P23:S23"/>
    <mergeCell ref="T23:U23"/>
    <mergeCell ref="I24:K24"/>
    <mergeCell ref="L24:O24"/>
    <mergeCell ref="P24:S24"/>
    <mergeCell ref="T24:U24"/>
    <mergeCell ref="I21:K21"/>
    <mergeCell ref="L21:O21"/>
    <mergeCell ref="P21:S21"/>
    <mergeCell ref="T21:U21"/>
    <mergeCell ref="I22:K22"/>
    <mergeCell ref="L22:O22"/>
    <mergeCell ref="P22:S22"/>
    <mergeCell ref="T22:U22"/>
    <mergeCell ref="I19:Q19"/>
    <mergeCell ref="R19:U19"/>
    <mergeCell ref="I20:K20"/>
    <mergeCell ref="L20:O20"/>
    <mergeCell ref="P20:S20"/>
    <mergeCell ref="T20:U20"/>
    <mergeCell ref="C66:D66"/>
    <mergeCell ref="C68:D68"/>
    <mergeCell ref="C72:D72"/>
    <mergeCell ref="C74:D74"/>
    <mergeCell ref="C75:D75"/>
    <mergeCell ref="C73:D73"/>
    <mergeCell ref="C39:G39"/>
    <mergeCell ref="C45:G45"/>
    <mergeCell ref="C52:G52"/>
    <mergeCell ref="C63:D63"/>
    <mergeCell ref="C64:D64"/>
    <mergeCell ref="C65:D65"/>
    <mergeCell ref="C20:D20"/>
    <mergeCell ref="C22:D22"/>
    <mergeCell ref="C23:D23"/>
    <mergeCell ref="C27:G27"/>
    <mergeCell ref="C30:G30"/>
    <mergeCell ref="C31:G31"/>
    <mergeCell ref="C1:G1"/>
    <mergeCell ref="C2:G2"/>
    <mergeCell ref="C3:G3"/>
    <mergeCell ref="C5:D5"/>
    <mergeCell ref="C18:D18"/>
    <mergeCell ref="C19:D19"/>
  </mergeCells>
  <hyperlinks>
    <hyperlink ref="T25" r:id="rId1" display="mailto:kanhu1971@gmail.com"/>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2025-12-11T13:39:06Z</dcterms:modified>
</cp:coreProperties>
</file>